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F:\_2020\_Disertacao\_Esta\acesso_à_informacao\"/>
    </mc:Choice>
  </mc:AlternateContent>
  <xr:revisionPtr revIDLastSave="0" documentId="13_ncr:1_{A59CE00D-26FD-49CD-9015-6CFE4E1C9D97}" xr6:coauthVersionLast="46" xr6:coauthVersionMax="46" xr10:uidLastSave="{00000000-0000-0000-0000-000000000000}"/>
  <bookViews>
    <workbookView xWindow="-120" yWindow="-120" windowWidth="29040" windowHeight="15840" xr2:uid="{80423047-F7C3-4812-B970-9B9A9BC9CD9B}"/>
  </bookViews>
  <sheets>
    <sheet name="Instrumento" sheetId="5" r:id="rId1"/>
    <sheet name="Aplicação do Instrumento" sheetId="1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82" i="1" l="1"/>
  <c r="A80" i="1"/>
  <c r="A78" i="1"/>
  <c r="A76" i="1"/>
  <c r="A74" i="1"/>
  <c r="A72" i="1"/>
  <c r="A70" i="1"/>
  <c r="A68" i="1"/>
  <c r="A66" i="1"/>
  <c r="A64" i="1"/>
  <c r="A62" i="1"/>
  <c r="A60" i="1"/>
  <c r="A58" i="1"/>
  <c r="A56" i="1"/>
  <c r="A47" i="1"/>
  <c r="A45" i="1"/>
  <c r="A43" i="1"/>
  <c r="A41" i="1"/>
  <c r="A39" i="1"/>
  <c r="A37" i="1"/>
  <c r="A35" i="1"/>
  <c r="A33" i="1"/>
  <c r="A31" i="1"/>
  <c r="A29" i="1"/>
  <c r="A27" i="1"/>
  <c r="A25" i="1"/>
  <c r="A23" i="1"/>
  <c r="A21" i="1"/>
  <c r="A19" i="1"/>
  <c r="A17" i="1"/>
  <c r="A15" i="1"/>
  <c r="A13" i="1"/>
  <c r="H57" i="1"/>
  <c r="AF78" i="1"/>
  <c r="E40" i="5"/>
  <c r="E6" i="5"/>
  <c r="AF17" i="1"/>
  <c r="N18" i="1"/>
  <c r="AF13" i="1"/>
  <c r="AB77" i="1"/>
  <c r="AF80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Z65" i="1"/>
  <c r="AA65" i="1"/>
  <c r="AB65" i="1"/>
  <c r="AC65" i="1"/>
  <c r="AD65" i="1"/>
  <c r="AE65" i="1"/>
  <c r="D65" i="1"/>
  <c r="AF27" i="1"/>
  <c r="AF58" i="1"/>
  <c r="AF60" i="1"/>
  <c r="AF62" i="1"/>
  <c r="AF64" i="1"/>
  <c r="AF66" i="1"/>
  <c r="AF68" i="1"/>
  <c r="AF70" i="1"/>
  <c r="AF72" i="1"/>
  <c r="AF74" i="1"/>
  <c r="AF76" i="1"/>
  <c r="AF82" i="1"/>
  <c r="AF15" i="1"/>
  <c r="AF19" i="1"/>
  <c r="AF21" i="1"/>
  <c r="AF23" i="1"/>
  <c r="AF25" i="1"/>
  <c r="AF29" i="1"/>
  <c r="AF31" i="1"/>
  <c r="AF33" i="1"/>
  <c r="AF35" i="1"/>
  <c r="AF37" i="1"/>
  <c r="AF39" i="1"/>
  <c r="AF41" i="1"/>
  <c r="AF43" i="1"/>
  <c r="AF45" i="1"/>
  <c r="AF47" i="1"/>
  <c r="AF56" i="1"/>
  <c r="D20" i="1"/>
  <c r="Y79" i="1"/>
  <c r="B35" i="1"/>
  <c r="B21" i="1"/>
  <c r="AF65" i="1" l="1"/>
  <c r="B82" i="1"/>
  <c r="B80" i="1"/>
  <c r="B78" i="1"/>
  <c r="D83" i="1"/>
  <c r="D81" i="1"/>
  <c r="D79" i="1"/>
  <c r="AE81" i="1"/>
  <c r="AD81" i="1"/>
  <c r="AC81" i="1"/>
  <c r="AB81" i="1"/>
  <c r="AA81" i="1"/>
  <c r="Z81" i="1"/>
  <c r="Y81" i="1"/>
  <c r="X81" i="1"/>
  <c r="W81" i="1"/>
  <c r="V81" i="1"/>
  <c r="U81" i="1"/>
  <c r="T81" i="1"/>
  <c r="S81" i="1"/>
  <c r="R81" i="1"/>
  <c r="Q81" i="1"/>
  <c r="P81" i="1"/>
  <c r="O81" i="1"/>
  <c r="N81" i="1"/>
  <c r="M81" i="1"/>
  <c r="L81" i="1"/>
  <c r="K81" i="1"/>
  <c r="J81" i="1"/>
  <c r="I81" i="1"/>
  <c r="H81" i="1"/>
  <c r="G81" i="1"/>
  <c r="F81" i="1"/>
  <c r="E81" i="1"/>
  <c r="AE83" i="1"/>
  <c r="AD83" i="1"/>
  <c r="AC83" i="1"/>
  <c r="AB83" i="1"/>
  <c r="AA83" i="1"/>
  <c r="Z83" i="1"/>
  <c r="Y83" i="1"/>
  <c r="X83" i="1"/>
  <c r="W83" i="1"/>
  <c r="V83" i="1"/>
  <c r="U83" i="1"/>
  <c r="T83" i="1"/>
  <c r="S83" i="1"/>
  <c r="R83" i="1"/>
  <c r="Q83" i="1"/>
  <c r="P83" i="1"/>
  <c r="O83" i="1"/>
  <c r="N83" i="1"/>
  <c r="M83" i="1"/>
  <c r="L83" i="1"/>
  <c r="K83" i="1"/>
  <c r="J83" i="1"/>
  <c r="I83" i="1"/>
  <c r="H83" i="1"/>
  <c r="G83" i="1"/>
  <c r="F83" i="1"/>
  <c r="E83" i="1"/>
  <c r="E38" i="5"/>
  <c r="E39" i="5"/>
  <c r="B76" i="1"/>
  <c r="B74" i="1"/>
  <c r="B72" i="1"/>
  <c r="B70" i="1"/>
  <c r="B68" i="1"/>
  <c r="B66" i="1"/>
  <c r="B64" i="1"/>
  <c r="B62" i="1"/>
  <c r="B60" i="1"/>
  <c r="B58" i="1"/>
  <c r="B56" i="1"/>
  <c r="B47" i="1"/>
  <c r="B45" i="1"/>
  <c r="B43" i="1"/>
  <c r="B41" i="1"/>
  <c r="B39" i="1"/>
  <c r="B37" i="1"/>
  <c r="B33" i="1"/>
  <c r="B31" i="1"/>
  <c r="B29" i="1"/>
  <c r="B27" i="1"/>
  <c r="B25" i="1"/>
  <c r="B23" i="1"/>
  <c r="B19" i="1"/>
  <c r="B17" i="1"/>
  <c r="B15" i="1"/>
  <c r="B13" i="1"/>
  <c r="E31" i="5"/>
  <c r="E32" i="5"/>
  <c r="E33" i="5"/>
  <c r="E34" i="5"/>
  <c r="E35" i="5"/>
  <c r="E36" i="5"/>
  <c r="E37" i="5"/>
  <c r="E79" i="1"/>
  <c r="F79" i="1"/>
  <c r="G79" i="1"/>
  <c r="H79" i="1"/>
  <c r="I79" i="1"/>
  <c r="J79" i="1"/>
  <c r="K79" i="1"/>
  <c r="L79" i="1"/>
  <c r="M79" i="1"/>
  <c r="N79" i="1"/>
  <c r="O79" i="1"/>
  <c r="P79" i="1"/>
  <c r="Q79" i="1"/>
  <c r="R79" i="1"/>
  <c r="S79" i="1"/>
  <c r="T79" i="1"/>
  <c r="U79" i="1"/>
  <c r="V79" i="1"/>
  <c r="W79" i="1"/>
  <c r="X79" i="1"/>
  <c r="Z79" i="1"/>
  <c r="AA79" i="1"/>
  <c r="AB79" i="1"/>
  <c r="AC79" i="1"/>
  <c r="AD79" i="1"/>
  <c r="AE79" i="1"/>
  <c r="E77" i="1"/>
  <c r="F77" i="1"/>
  <c r="G77" i="1"/>
  <c r="H77" i="1"/>
  <c r="I77" i="1"/>
  <c r="J77" i="1"/>
  <c r="K77" i="1"/>
  <c r="L77" i="1"/>
  <c r="M77" i="1"/>
  <c r="N77" i="1"/>
  <c r="O77" i="1"/>
  <c r="P77" i="1"/>
  <c r="Q77" i="1"/>
  <c r="R77" i="1"/>
  <c r="S77" i="1"/>
  <c r="T77" i="1"/>
  <c r="U77" i="1"/>
  <c r="V77" i="1"/>
  <c r="W77" i="1"/>
  <c r="X77" i="1"/>
  <c r="Y77" i="1"/>
  <c r="Z77" i="1"/>
  <c r="AA77" i="1"/>
  <c r="AC77" i="1"/>
  <c r="AD77" i="1"/>
  <c r="AE77" i="1"/>
  <c r="E75" i="1"/>
  <c r="F75" i="1"/>
  <c r="G75" i="1"/>
  <c r="H75" i="1"/>
  <c r="I75" i="1"/>
  <c r="J75" i="1"/>
  <c r="K75" i="1"/>
  <c r="L75" i="1"/>
  <c r="M75" i="1"/>
  <c r="N75" i="1"/>
  <c r="O75" i="1"/>
  <c r="P75" i="1"/>
  <c r="Q75" i="1"/>
  <c r="R75" i="1"/>
  <c r="S75" i="1"/>
  <c r="T75" i="1"/>
  <c r="U75" i="1"/>
  <c r="V75" i="1"/>
  <c r="W75" i="1"/>
  <c r="X75" i="1"/>
  <c r="Y75" i="1"/>
  <c r="Z75" i="1"/>
  <c r="AA75" i="1"/>
  <c r="AB75" i="1"/>
  <c r="AC75" i="1"/>
  <c r="AD75" i="1"/>
  <c r="AE75" i="1"/>
  <c r="E73" i="1"/>
  <c r="F73" i="1"/>
  <c r="G73" i="1"/>
  <c r="H73" i="1"/>
  <c r="I73" i="1"/>
  <c r="J73" i="1"/>
  <c r="K73" i="1"/>
  <c r="L73" i="1"/>
  <c r="M73" i="1"/>
  <c r="N73" i="1"/>
  <c r="O73" i="1"/>
  <c r="P73" i="1"/>
  <c r="Q73" i="1"/>
  <c r="R73" i="1"/>
  <c r="S73" i="1"/>
  <c r="T73" i="1"/>
  <c r="U73" i="1"/>
  <c r="V73" i="1"/>
  <c r="W73" i="1"/>
  <c r="X73" i="1"/>
  <c r="Y73" i="1"/>
  <c r="Z73" i="1"/>
  <c r="AA73" i="1"/>
  <c r="AB73" i="1"/>
  <c r="AC73" i="1"/>
  <c r="AD73" i="1"/>
  <c r="AE73" i="1"/>
  <c r="E71" i="1"/>
  <c r="F71" i="1"/>
  <c r="G71" i="1"/>
  <c r="H71" i="1"/>
  <c r="I71" i="1"/>
  <c r="J71" i="1"/>
  <c r="K71" i="1"/>
  <c r="L71" i="1"/>
  <c r="M71" i="1"/>
  <c r="N71" i="1"/>
  <c r="O71" i="1"/>
  <c r="P71" i="1"/>
  <c r="Q71" i="1"/>
  <c r="R71" i="1"/>
  <c r="S71" i="1"/>
  <c r="T71" i="1"/>
  <c r="U71" i="1"/>
  <c r="V71" i="1"/>
  <c r="W71" i="1"/>
  <c r="X71" i="1"/>
  <c r="Y71" i="1"/>
  <c r="Z71" i="1"/>
  <c r="AA71" i="1"/>
  <c r="AB71" i="1"/>
  <c r="AC71" i="1"/>
  <c r="AD71" i="1"/>
  <c r="AE71" i="1"/>
  <c r="E69" i="1"/>
  <c r="F69" i="1"/>
  <c r="G69" i="1"/>
  <c r="H69" i="1"/>
  <c r="I69" i="1"/>
  <c r="J69" i="1"/>
  <c r="K69" i="1"/>
  <c r="L69" i="1"/>
  <c r="M69" i="1"/>
  <c r="N69" i="1"/>
  <c r="O69" i="1"/>
  <c r="P69" i="1"/>
  <c r="Q69" i="1"/>
  <c r="R69" i="1"/>
  <c r="S69" i="1"/>
  <c r="T69" i="1"/>
  <c r="U69" i="1"/>
  <c r="V69" i="1"/>
  <c r="W69" i="1"/>
  <c r="X69" i="1"/>
  <c r="Y69" i="1"/>
  <c r="Z69" i="1"/>
  <c r="AA69" i="1"/>
  <c r="AB69" i="1"/>
  <c r="AC69" i="1"/>
  <c r="AD69" i="1"/>
  <c r="AE69" i="1"/>
  <c r="E67" i="1"/>
  <c r="F67" i="1"/>
  <c r="G67" i="1"/>
  <c r="H67" i="1"/>
  <c r="I67" i="1"/>
  <c r="J67" i="1"/>
  <c r="K67" i="1"/>
  <c r="L67" i="1"/>
  <c r="M67" i="1"/>
  <c r="N67" i="1"/>
  <c r="O67" i="1"/>
  <c r="P67" i="1"/>
  <c r="Q67" i="1"/>
  <c r="R67" i="1"/>
  <c r="S67" i="1"/>
  <c r="T67" i="1"/>
  <c r="U67" i="1"/>
  <c r="V67" i="1"/>
  <c r="W67" i="1"/>
  <c r="X67" i="1"/>
  <c r="Y67" i="1"/>
  <c r="Z67" i="1"/>
  <c r="AA67" i="1"/>
  <c r="AB67" i="1"/>
  <c r="AC67" i="1"/>
  <c r="AD67" i="1"/>
  <c r="AE67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E59" i="1"/>
  <c r="F59" i="1"/>
  <c r="G59" i="1"/>
  <c r="H59" i="1"/>
  <c r="H86" i="1" s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E57" i="1"/>
  <c r="E52" i="1" s="1"/>
  <c r="E53" i="1" s="1"/>
  <c r="F57" i="1"/>
  <c r="G57" i="1"/>
  <c r="H52" i="1"/>
  <c r="H53" i="1" s="1"/>
  <c r="I57" i="1"/>
  <c r="J57" i="1"/>
  <c r="K57" i="1"/>
  <c r="K52" i="1" s="1"/>
  <c r="K53" i="1" s="1"/>
  <c r="L57" i="1"/>
  <c r="M57" i="1"/>
  <c r="N57" i="1"/>
  <c r="O57" i="1"/>
  <c r="P57" i="1"/>
  <c r="Q57" i="1"/>
  <c r="Q52" i="1" s="1"/>
  <c r="Q53" i="1" s="1"/>
  <c r="R57" i="1"/>
  <c r="S57" i="1"/>
  <c r="T57" i="1"/>
  <c r="T52" i="1" s="1"/>
  <c r="T53" i="1" s="1"/>
  <c r="U57" i="1"/>
  <c r="V57" i="1"/>
  <c r="W57" i="1"/>
  <c r="X57" i="1"/>
  <c r="Y57" i="1"/>
  <c r="Z57" i="1"/>
  <c r="Z52" i="1" s="1"/>
  <c r="Z53" i="1" s="1"/>
  <c r="AA57" i="1"/>
  <c r="AB57" i="1"/>
  <c r="AC57" i="1"/>
  <c r="AD57" i="1"/>
  <c r="AE57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E40" i="1"/>
  <c r="F40" i="1"/>
  <c r="G40" i="1"/>
  <c r="H40" i="1"/>
  <c r="I40" i="1"/>
  <c r="J40" i="1"/>
  <c r="K40" i="1"/>
  <c r="L40" i="1"/>
  <c r="M40" i="1"/>
  <c r="N40" i="1"/>
  <c r="O40" i="1"/>
  <c r="P40" i="1"/>
  <c r="Q40" i="1"/>
  <c r="R40" i="1"/>
  <c r="S40" i="1"/>
  <c r="T40" i="1"/>
  <c r="U40" i="1"/>
  <c r="V40" i="1"/>
  <c r="W40" i="1"/>
  <c r="X40" i="1"/>
  <c r="Y40" i="1"/>
  <c r="Z40" i="1"/>
  <c r="AA40" i="1"/>
  <c r="AB40" i="1"/>
  <c r="AC40" i="1"/>
  <c r="AD40" i="1"/>
  <c r="AE40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X36" i="1"/>
  <c r="Y36" i="1"/>
  <c r="Z36" i="1"/>
  <c r="AA36" i="1"/>
  <c r="AB36" i="1"/>
  <c r="AC36" i="1"/>
  <c r="AD36" i="1"/>
  <c r="AE36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R34" i="1"/>
  <c r="S34" i="1"/>
  <c r="T34" i="1"/>
  <c r="U34" i="1"/>
  <c r="V34" i="1"/>
  <c r="W34" i="1"/>
  <c r="X34" i="1"/>
  <c r="Y34" i="1"/>
  <c r="Z34" i="1"/>
  <c r="AA34" i="1"/>
  <c r="AB34" i="1"/>
  <c r="AC34" i="1"/>
  <c r="AD34" i="1"/>
  <c r="AE34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R32" i="1"/>
  <c r="S32" i="1"/>
  <c r="T32" i="1"/>
  <c r="U32" i="1"/>
  <c r="V32" i="1"/>
  <c r="W32" i="1"/>
  <c r="X32" i="1"/>
  <c r="Y32" i="1"/>
  <c r="Z32" i="1"/>
  <c r="AA32" i="1"/>
  <c r="AB32" i="1"/>
  <c r="AC32" i="1"/>
  <c r="AD32" i="1"/>
  <c r="AE32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T30" i="1"/>
  <c r="U30" i="1"/>
  <c r="V30" i="1"/>
  <c r="W30" i="1"/>
  <c r="X30" i="1"/>
  <c r="Y30" i="1"/>
  <c r="Z30" i="1"/>
  <c r="AA30" i="1"/>
  <c r="AB30" i="1"/>
  <c r="AC30" i="1"/>
  <c r="AD30" i="1"/>
  <c r="AE30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T28" i="1"/>
  <c r="U28" i="1"/>
  <c r="V28" i="1"/>
  <c r="W28" i="1"/>
  <c r="X28" i="1"/>
  <c r="Y28" i="1"/>
  <c r="Z28" i="1"/>
  <c r="AA28" i="1"/>
  <c r="AB28" i="1"/>
  <c r="AC28" i="1"/>
  <c r="AD28" i="1"/>
  <c r="AE28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AA24" i="1"/>
  <c r="AB24" i="1"/>
  <c r="AC24" i="1"/>
  <c r="AD24" i="1"/>
  <c r="AE24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AB22" i="1"/>
  <c r="AC22" i="1"/>
  <c r="AD22" i="1"/>
  <c r="AE22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AB20" i="1"/>
  <c r="AC20" i="1"/>
  <c r="AD20" i="1"/>
  <c r="AE20" i="1"/>
  <c r="E18" i="1"/>
  <c r="F18" i="1"/>
  <c r="G18" i="1"/>
  <c r="H18" i="1"/>
  <c r="I18" i="1"/>
  <c r="J18" i="1"/>
  <c r="K18" i="1"/>
  <c r="L18" i="1"/>
  <c r="M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T14" i="1"/>
  <c r="U14" i="1"/>
  <c r="V14" i="1"/>
  <c r="W14" i="1"/>
  <c r="X14" i="1"/>
  <c r="Y14" i="1"/>
  <c r="Z14" i="1"/>
  <c r="AA14" i="1"/>
  <c r="AB14" i="1"/>
  <c r="AC14" i="1"/>
  <c r="AD14" i="1"/>
  <c r="AE14" i="1"/>
  <c r="E13" i="5"/>
  <c r="I86" i="1" l="1"/>
  <c r="AE52" i="1"/>
  <c r="AE53" i="1" s="1"/>
  <c r="J86" i="1"/>
  <c r="G52" i="1"/>
  <c r="G53" i="1" s="1"/>
  <c r="G86" i="1"/>
  <c r="AD52" i="1"/>
  <c r="AD53" i="1" s="1"/>
  <c r="X52" i="1"/>
  <c r="X53" i="1" s="1"/>
  <c r="U52" i="1"/>
  <c r="U53" i="1" s="1"/>
  <c r="R52" i="1"/>
  <c r="R53" i="1" s="1"/>
  <c r="O52" i="1"/>
  <c r="O53" i="1" s="1"/>
  <c r="F52" i="1"/>
  <c r="F53" i="1" s="1"/>
  <c r="F86" i="1"/>
  <c r="E86" i="1"/>
  <c r="AF20" i="1"/>
  <c r="AC86" i="1"/>
  <c r="AC52" i="1"/>
  <c r="AC53" i="1" s="1"/>
  <c r="N86" i="1"/>
  <c r="N52" i="1"/>
  <c r="N53" i="1" s="1"/>
  <c r="AB52" i="1"/>
  <c r="I52" i="1"/>
  <c r="I53" i="1" s="1"/>
  <c r="Y86" i="1"/>
  <c r="Y52" i="1"/>
  <c r="Y53" i="1" s="1"/>
  <c r="V86" i="1"/>
  <c r="V52" i="1"/>
  <c r="S86" i="1"/>
  <c r="S52" i="1"/>
  <c r="S53" i="1" s="1"/>
  <c r="P86" i="1"/>
  <c r="P52" i="1"/>
  <c r="P53" i="1" s="1"/>
  <c r="M86" i="1"/>
  <c r="M52" i="1"/>
  <c r="M53" i="1" s="1"/>
  <c r="J52" i="1"/>
  <c r="J53" i="1" s="1"/>
  <c r="L52" i="1"/>
  <c r="W52" i="1"/>
  <c r="W53" i="1" s="1"/>
  <c r="AF83" i="1"/>
  <c r="AF79" i="1"/>
  <c r="AB53" i="1"/>
  <c r="AA52" i="1"/>
  <c r="AA53" i="1" s="1"/>
  <c r="L53" i="1"/>
  <c r="AF81" i="1"/>
  <c r="W86" i="1"/>
  <c r="AE86" i="1"/>
  <c r="AB86" i="1"/>
  <c r="Z86" i="1"/>
  <c r="T86" i="1"/>
  <c r="Q86" i="1"/>
  <c r="K86" i="1"/>
  <c r="AD86" i="1"/>
  <c r="AA86" i="1"/>
  <c r="X86" i="1"/>
  <c r="U86" i="1"/>
  <c r="R86" i="1"/>
  <c r="O86" i="1"/>
  <c r="L86" i="1"/>
  <c r="V53" i="1" l="1"/>
  <c r="D36" i="1"/>
  <c r="AF36" i="1" s="1"/>
  <c r="D77" i="1"/>
  <c r="D75" i="1"/>
  <c r="AF75" i="1" s="1"/>
  <c r="D73" i="1"/>
  <c r="AF73" i="1" s="1"/>
  <c r="D71" i="1"/>
  <c r="AF71" i="1" s="1"/>
  <c r="D69" i="1"/>
  <c r="AF69" i="1" s="1"/>
  <c r="D67" i="1"/>
  <c r="AF67" i="1" s="1"/>
  <c r="D63" i="1"/>
  <c r="D61" i="1"/>
  <c r="AF61" i="1" s="1"/>
  <c r="D59" i="1"/>
  <c r="AF59" i="1" s="1"/>
  <c r="D57" i="1"/>
  <c r="D48" i="1"/>
  <c r="AF48" i="1" s="1"/>
  <c r="D46" i="1"/>
  <c r="AF46" i="1" s="1"/>
  <c r="D44" i="1"/>
  <c r="AF44" i="1" s="1"/>
  <c r="D42" i="1"/>
  <c r="AF42" i="1" s="1"/>
  <c r="E38" i="1"/>
  <c r="F38" i="1"/>
  <c r="G38" i="1"/>
  <c r="H38" i="1"/>
  <c r="I38" i="1"/>
  <c r="J38" i="1"/>
  <c r="J10" i="1" s="1"/>
  <c r="K38" i="1"/>
  <c r="K10" i="1" s="1"/>
  <c r="L38" i="1"/>
  <c r="L10" i="1" s="1"/>
  <c r="M38" i="1"/>
  <c r="M10" i="1" s="1"/>
  <c r="N38" i="1"/>
  <c r="N10" i="1" s="1"/>
  <c r="O38" i="1"/>
  <c r="O10" i="1" s="1"/>
  <c r="P38" i="1"/>
  <c r="P10" i="1" s="1"/>
  <c r="Q38" i="1"/>
  <c r="Q10" i="1" s="1"/>
  <c r="R38" i="1"/>
  <c r="R10" i="1" s="1"/>
  <c r="S38" i="1"/>
  <c r="S10" i="1" s="1"/>
  <c r="T38" i="1"/>
  <c r="T10" i="1" s="1"/>
  <c r="U38" i="1"/>
  <c r="U10" i="1" s="1"/>
  <c r="V38" i="1"/>
  <c r="V10" i="1" s="1"/>
  <c r="W38" i="1"/>
  <c r="W10" i="1" s="1"/>
  <c r="X38" i="1"/>
  <c r="X10" i="1" s="1"/>
  <c r="Y38" i="1"/>
  <c r="Y10" i="1" s="1"/>
  <c r="Z38" i="1"/>
  <c r="Z10" i="1" s="1"/>
  <c r="AA38" i="1"/>
  <c r="AA10" i="1" s="1"/>
  <c r="AA6" i="1" s="1"/>
  <c r="AB38" i="1"/>
  <c r="AB10" i="1" s="1"/>
  <c r="AC38" i="1"/>
  <c r="AC10" i="1" s="1"/>
  <c r="AD38" i="1"/>
  <c r="AD10" i="1" s="1"/>
  <c r="AE38" i="1"/>
  <c r="AE10" i="1" s="1"/>
  <c r="D38" i="1"/>
  <c r="AF38" i="1" s="1"/>
  <c r="D40" i="1"/>
  <c r="AF40" i="1" s="1"/>
  <c r="D34" i="1"/>
  <c r="AF34" i="1" s="1"/>
  <c r="D32" i="1"/>
  <c r="AF32" i="1" s="1"/>
  <c r="D30" i="1"/>
  <c r="AF30" i="1" s="1"/>
  <c r="D28" i="1"/>
  <c r="AF28" i="1" s="1"/>
  <c r="D26" i="1"/>
  <c r="D24" i="1"/>
  <c r="AF24" i="1" s="1"/>
  <c r="D22" i="1"/>
  <c r="AF22" i="1" s="1"/>
  <c r="D16" i="1"/>
  <c r="AF16" i="1" s="1"/>
  <c r="D14" i="1"/>
  <c r="H10" i="1" l="1"/>
  <c r="H85" i="1"/>
  <c r="E10" i="1"/>
  <c r="E7" i="1" s="1"/>
  <c r="E85" i="1"/>
  <c r="G10" i="1"/>
  <c r="G11" i="1" s="1"/>
  <c r="G85" i="1"/>
  <c r="I10" i="1"/>
  <c r="I11" i="1" s="1"/>
  <c r="I85" i="1"/>
  <c r="F10" i="1"/>
  <c r="F85" i="1"/>
  <c r="AF57" i="1"/>
  <c r="D86" i="1"/>
  <c r="AF86" i="1" s="1"/>
  <c r="AE11" i="1"/>
  <c r="AE6" i="1"/>
  <c r="AE7" i="1"/>
  <c r="AB11" i="1"/>
  <c r="AB7" i="1"/>
  <c r="AB6" i="1"/>
  <c r="Y11" i="1"/>
  <c r="Y7" i="1"/>
  <c r="Y6" i="1"/>
  <c r="V11" i="1"/>
  <c r="V7" i="1"/>
  <c r="S11" i="1"/>
  <c r="S6" i="1"/>
  <c r="S7" i="1"/>
  <c r="P11" i="1"/>
  <c r="P6" i="1"/>
  <c r="P7" i="1"/>
  <c r="M11" i="1"/>
  <c r="M7" i="1"/>
  <c r="M6" i="1"/>
  <c r="J11" i="1"/>
  <c r="J6" i="1"/>
  <c r="J7" i="1"/>
  <c r="G6" i="1"/>
  <c r="G7" i="1"/>
  <c r="AF14" i="1"/>
  <c r="AD11" i="1"/>
  <c r="AD7" i="1"/>
  <c r="AD6" i="1"/>
  <c r="AA11" i="1"/>
  <c r="AA7" i="1"/>
  <c r="X11" i="1"/>
  <c r="X7" i="1"/>
  <c r="X6" i="1"/>
  <c r="U11" i="1"/>
  <c r="U6" i="1"/>
  <c r="U7" i="1"/>
  <c r="R11" i="1"/>
  <c r="R6" i="1"/>
  <c r="R7" i="1"/>
  <c r="O11" i="1"/>
  <c r="O6" i="1"/>
  <c r="O7" i="1"/>
  <c r="L11" i="1"/>
  <c r="L7" i="1"/>
  <c r="L6" i="1"/>
  <c r="I6" i="1"/>
  <c r="I7" i="1"/>
  <c r="F11" i="1"/>
  <c r="F6" i="1"/>
  <c r="F7" i="1"/>
  <c r="AC6" i="1"/>
  <c r="AC11" i="1"/>
  <c r="AC7" i="1"/>
  <c r="Z6" i="1"/>
  <c r="Z7" i="1"/>
  <c r="Z11" i="1"/>
  <c r="W11" i="1"/>
  <c r="W7" i="1"/>
  <c r="W6" i="1"/>
  <c r="T6" i="1"/>
  <c r="T7" i="1"/>
  <c r="T11" i="1"/>
  <c r="Q6" i="1"/>
  <c r="Q7" i="1"/>
  <c r="Q11" i="1"/>
  <c r="N6" i="1"/>
  <c r="N11" i="1"/>
  <c r="N7" i="1"/>
  <c r="K7" i="1"/>
  <c r="K11" i="1"/>
  <c r="K6" i="1"/>
  <c r="H7" i="1"/>
  <c r="H6" i="1"/>
  <c r="H11" i="1"/>
  <c r="E11" i="1"/>
  <c r="V6" i="1"/>
  <c r="D52" i="1"/>
  <c r="D53" i="1" s="1"/>
  <c r="AF77" i="1"/>
  <c r="AF63" i="1"/>
  <c r="AF26" i="1"/>
  <c r="AD85" i="1"/>
  <c r="X85" i="1"/>
  <c r="R85" i="1"/>
  <c r="L85" i="1"/>
  <c r="AC85" i="1"/>
  <c r="Z85" i="1"/>
  <c r="W85" i="1"/>
  <c r="T85" i="1"/>
  <c r="Q85" i="1"/>
  <c r="N85" i="1"/>
  <c r="K85" i="1"/>
  <c r="AA85" i="1"/>
  <c r="U85" i="1"/>
  <c r="O85" i="1"/>
  <c r="AE85" i="1"/>
  <c r="AB85" i="1"/>
  <c r="Y85" i="1"/>
  <c r="V85" i="1"/>
  <c r="S85" i="1"/>
  <c r="P85" i="1"/>
  <c r="M85" i="1"/>
  <c r="J85" i="1"/>
  <c r="D18" i="1"/>
  <c r="AF18" i="1" s="1"/>
  <c r="E30" i="5"/>
  <c r="E28" i="5"/>
  <c r="E29" i="5"/>
  <c r="E27" i="5"/>
  <c r="E7" i="5"/>
  <c r="E8" i="5"/>
  <c r="E9" i="5"/>
  <c r="E10" i="5"/>
  <c r="E11" i="5"/>
  <c r="E12" i="5"/>
  <c r="E14" i="5"/>
  <c r="E15" i="5"/>
  <c r="E16" i="5"/>
  <c r="E17" i="5"/>
  <c r="E18" i="5"/>
  <c r="E19" i="5"/>
  <c r="E20" i="5"/>
  <c r="E21" i="5"/>
  <c r="E24" i="5" s="1"/>
  <c r="E22" i="5"/>
  <c r="E23" i="5"/>
  <c r="E6" i="1" l="1"/>
  <c r="D85" i="1"/>
  <c r="AF85" i="1" s="1"/>
  <c r="D10" i="1"/>
  <c r="E41" i="5"/>
  <c r="E42" i="5" s="1"/>
  <c r="D7" i="1" l="1"/>
  <c r="D11" i="1"/>
  <c r="D6" i="1"/>
</calcChain>
</file>

<file path=xl/sharedStrings.xml><?xml version="1.0" encoding="utf-8"?>
<sst xmlns="http://schemas.openxmlformats.org/spreadsheetml/2006/main" count="279" uniqueCount="155">
  <si>
    <t>QUESITO EM AVALIAÇÃO</t>
  </si>
  <si>
    <t>FUNDAMENTO</t>
  </si>
  <si>
    <t>PONTOS</t>
  </si>
  <si>
    <t>TRANSPARÊNCIA ATIVA</t>
  </si>
  <si>
    <t xml:space="preserve">(Art. 8º, §3º, I, Lei 12.527/11) </t>
  </si>
  <si>
    <t>(Art. 8º, §3º, II, Lei 12.527/11)</t>
  </si>
  <si>
    <t>(Art. 8º, §3º, III, Lei 12.527/11)</t>
  </si>
  <si>
    <t>(Art. 8º, §3º, IV, Lei 12.527/11)</t>
  </si>
  <si>
    <t>(Art. 8º, §3º, VII, Lei 12.527/11)</t>
  </si>
  <si>
    <t>(Art. 8º, §3º, VIII, Lei 12.527/11)</t>
  </si>
  <si>
    <t>(Art. 7º, §3º, VI, Decreto 7.724/2012)</t>
  </si>
  <si>
    <t>(Art. 7º, §2º, I, Decreto 7.724/2012)</t>
  </si>
  <si>
    <t>(Art. 30, III, Lei 12.527/11)</t>
  </si>
  <si>
    <t>(Art. 8º, §1º, inciso I, Lei 12.527/11)</t>
  </si>
  <si>
    <t>Data avaliação: 03/12/2020</t>
  </si>
  <si>
    <t>TRANSPARÊNCIA PASSIVA</t>
  </si>
  <si>
    <t>(Art. 9º, III, Decreto 7.724/2012)</t>
  </si>
  <si>
    <t>(Art. 9º, pú, II, Decreto 7.724/2012)</t>
  </si>
  <si>
    <t>(Art. 11, § 4º, Decreto 7.724/2012)</t>
  </si>
  <si>
    <t>(Art. 19, I, II e III, Decreto 7.724/2012)</t>
  </si>
  <si>
    <t>(Art. 17, Decreto 7.724/2012)</t>
  </si>
  <si>
    <t>Quadro 03: Escala para constatação das variáveis observadas</t>
  </si>
  <si>
    <t xml:space="preserve">Escala de referência </t>
  </si>
  <si>
    <t>Fator de multiplicação</t>
  </si>
  <si>
    <t>Cofen</t>
  </si>
  <si>
    <t xml:space="preserve">AC </t>
  </si>
  <si>
    <t xml:space="preserve">AL </t>
  </si>
  <si>
    <t xml:space="preserve">AM </t>
  </si>
  <si>
    <t xml:space="preserve">AP </t>
  </si>
  <si>
    <t xml:space="preserve">BA </t>
  </si>
  <si>
    <t xml:space="preserve">CE </t>
  </si>
  <si>
    <t xml:space="preserve">DF </t>
  </si>
  <si>
    <t xml:space="preserve">ES </t>
  </si>
  <si>
    <t xml:space="preserve">GO </t>
  </si>
  <si>
    <t xml:space="preserve">MA </t>
  </si>
  <si>
    <t xml:space="preserve">MG </t>
  </si>
  <si>
    <t xml:space="preserve">MS </t>
  </si>
  <si>
    <t xml:space="preserve">MT </t>
  </si>
  <si>
    <t xml:space="preserve">PA </t>
  </si>
  <si>
    <t xml:space="preserve">PB </t>
  </si>
  <si>
    <t xml:space="preserve">PE </t>
  </si>
  <si>
    <t xml:space="preserve">PI </t>
  </si>
  <si>
    <t xml:space="preserve">PR </t>
  </si>
  <si>
    <t xml:space="preserve">RJ </t>
  </si>
  <si>
    <t xml:space="preserve">RN </t>
  </si>
  <si>
    <t xml:space="preserve">RO </t>
  </si>
  <si>
    <t xml:space="preserve">RR </t>
  </si>
  <si>
    <t xml:space="preserve">RS </t>
  </si>
  <si>
    <t xml:space="preserve">SC </t>
  </si>
  <si>
    <t xml:space="preserve">SE </t>
  </si>
  <si>
    <t xml:space="preserve">SP </t>
  </si>
  <si>
    <t xml:space="preserve">TO </t>
  </si>
  <si>
    <t>QUESITO</t>
  </si>
  <si>
    <t>(Art. 30, I, Lei 12.527/11)</t>
  </si>
  <si>
    <t>(Art. 30, II, Lei 12.527/11)</t>
  </si>
  <si>
    <t>(Art. 7º, §3º, V, Decreto 7.724/2012)</t>
  </si>
  <si>
    <t>(Art. 7º, §3º, VIII, Decreto 7.724/2012)</t>
  </si>
  <si>
    <t>(Art. 9º, Decreto 7.724/2012) e (Art. 30, III, Lei 12.527/11)</t>
  </si>
  <si>
    <t>NS</t>
  </si>
  <si>
    <t>(Art. 16, Decreto 7.724/2012)</t>
  </si>
  <si>
    <t>(Art. 11, §1º, Lei 12.527/11)</t>
  </si>
  <si>
    <t>Não se aplica</t>
  </si>
  <si>
    <t>(Art. 9º e 15, Decreto 7.724/2012)</t>
  </si>
  <si>
    <t>PANORAMA GERAL DA ANÁLISE EM PORCENTAGEM</t>
  </si>
  <si>
    <t>ANÁLISE DA TRANSPARÊNCIA ATIVA</t>
  </si>
  <si>
    <t>ANÁLISE DA TRANSPARÊNCIA PASSIVA</t>
  </si>
  <si>
    <t>TRANSPARÊNCIA PASSIVA (Teste: envio de pedido de informação)</t>
  </si>
  <si>
    <t>(Art. 15, Lei 12.527/11 e Art. 21 e 22, Decreto 7.724/2012)</t>
  </si>
  <si>
    <t>(Art. 15, Lei 12.527/11)</t>
  </si>
  <si>
    <t>(Art. 10, § 3º, Lei 12.527/11 e Art. 14, Decreto 7.724/2012)</t>
  </si>
  <si>
    <t>Constatação de cumprimento: ausente</t>
  </si>
  <si>
    <t xml:space="preserve">Constatação de cumprimento: fraco </t>
  </si>
  <si>
    <t xml:space="preserve">Constatação de cumprimento: moderado </t>
  </si>
  <si>
    <t>(Art. 7º, §3º, IV, Decreto 7.724/2012)</t>
  </si>
  <si>
    <t>(Art. 8º, §1º, V, Lei 12.527/11)</t>
  </si>
  <si>
    <t>(Art. 8º, §1º, VI, Lei 12.527/11)</t>
  </si>
  <si>
    <t>(Art. 22, Decreto 7.724/2012)</t>
  </si>
  <si>
    <t>(Art. 2º, Lei 12.527/11)</t>
  </si>
  <si>
    <t>(Art. 7º, VII, b), Lei 12.527/11)</t>
  </si>
  <si>
    <r>
      <t>Registro</t>
    </r>
    <r>
      <rPr>
        <sz val="10"/>
        <color rgb="FF000000"/>
        <rFont val="Arial"/>
        <family val="2"/>
      </rPr>
      <t xml:space="preserve"> do pedido de acesso em sistema eletrônico específico e entrega do número do </t>
    </r>
    <r>
      <rPr>
        <b/>
        <sz val="10"/>
        <color rgb="FF000000"/>
        <rFont val="Arial"/>
        <family val="2"/>
      </rPr>
      <t>protocolo</t>
    </r>
    <r>
      <rPr>
        <sz val="10"/>
        <color rgb="FF000000"/>
        <rFont val="Arial"/>
        <family val="2"/>
      </rPr>
      <t xml:space="preserve"> contendo a data de apresentação do pedido;</t>
    </r>
  </si>
  <si>
    <t xml:space="preserve">Quadro 03: Escala de referência e fator de multiplicação </t>
  </si>
  <si>
    <t>Conceder aceso à informação em prazo não superior a 20 dias - não sendo possível conceder o acesso imediato, deverá ocorrer, em prazo não superior a 20 dias - (0 = para constatação ausência de qualquer resposta, 1 = para constatação de resposta após o prazo de 20 dias e 3 = para constatação resposta no prazo de 20 dias);</t>
  </si>
  <si>
    <t>Constatação de cumprimento: forte</t>
  </si>
  <si>
    <t>Perguntas Frequentes - Respostas a perguntas mais frequentes da sociedade - (0 = para constatação de cumprimento ausente e 3 = para constatação de cumprimento forte) equivalente a Não ou Sim;</t>
  </si>
  <si>
    <t>Ferramenta de busca – Conter ferramenta de pesquisa de conteúdo que permita o acesso à informação de forma objetiva, transparente, clara e em linguagem de fácil compreensão - (0 = para constatação de cumprimento ausente, 1 = para constatação de cumprimento fraco; 2 = para constatação de cumprimento moderado; 3 = para constatação de cumprimento forte);</t>
  </si>
  <si>
    <t>Gravação de relatório – Possibilidade de gravação de relatórios em diversos formatos eletrônicos, inclusive abertos e não proprietários, tais como planilhas e texto, de modo a facilitar a análise das informações - (Exame: exportar para arquivo aberto e não proprietário relatório com nome e remuneração de servidores) - (0 = para constatação de cumprimento ausente, 1 = para constatação de cumprimento fraco; 2 = para constatação de cumprimento moderado; 3 = para constatação de cumprimento forte);</t>
  </si>
  <si>
    <t>Acesso por sistemas externos – Possibilitar o acesso automatizado por sistemas externos em formatos abertos, estruturados e legíveis por máquina – (Exame: constatar existência de interface web service que disponibilize dados em formatos abertos e estruturados) - (0 = para constatação de cumprimento ausente e 3 = para constatação de cumprimento forte) equivalente a Não ou Sim;</t>
  </si>
  <si>
    <t>Divulgação do resultado de inspeções, auditorias, prestações e tomadas de contas realizadas pelos órgãos de controle interno e externo, incluindo prestações de contas relativas a exercícios anteriores - (constatação dos últimos três anos - 2017, 2018 e 2019) - (0 = para constatação de cumprimento ausente, 1 = para constatação de cumprimento fraco; 2 = para constatação de cumprimento moderado; 3 = para constatação de cumprimento forte);</t>
  </si>
  <si>
    <t>Acompanhamento de programas - Divulgação de dados gerais para o acompanhamento de programas, ações, projetos e obras de órgãos e entidades - (0 = para constatação de cumprimento ausente e 3 = para constatação de cumprimento forte) equivalente a Não ou Sim;</t>
  </si>
  <si>
    <t>Seção “Fale Conosco” – Indicar local e instruções que permitam ao interessado comunicar-se, por via eletrônica ou telefônica, com o órgão ou entidade detentora do sítio - (0 = para constatação de cumprimento ausente, 1 = para constatação de cumprimento fraco; 2 = para constatação de cumprimento moderado; 3 = para constatação de cumprimento forte);</t>
  </si>
  <si>
    <t>Acessibilidade de conteúdo para pessoas com deficiência – Adotar medidas necessárias para garantir a acessibilidade de conteúdo para pessoas com deficiência - (Possibilidade de avaliação através de: https://asesweb.governoeletronico.gov.br/ da página inicial oficial e de acesso à informação) - (0 = para constatação de cumprimento ausente, 1 = para constatação de cumprimento fraco; 2 = para constatação de cumprimento moderado; 3 = para constatação de cumprimento forte);</t>
  </si>
  <si>
    <t>Remuneração - Divulgação de remuneração individualizada por nome do agente público - (0 = para constatação de cumprimento ausente e 3 = para constatação de cumprimento forte) equivalente a Não ou Sim;</t>
  </si>
  <si>
    <t>Banner de Acesso à Informação – Disponibilização, em seus sítios na Internet, de banner na página inicial, contendo seção específica para a divulgação, independente de requerimento, de informações de interesse coletivo ou geral produzidas ou custodiadas - (0 = para constatação de cumprimento ausente, 1 = para constatação de cumprimento fraco – quando possuir seção com link indisponível; 2 = para constatação de cumprimento moderado – quando possuir seção com link disponível; 3 = para constatação de cumprimento forte – quando de fato possuir o banner com link redirecionando para página disponível);</t>
  </si>
  <si>
    <t>Divulgação em detalhes, os formatos utilizados para estruturação da informação - (0 = para constatação de cumprimento ausente, 1 = para constatação de cumprimento fraco; 2 = para constatação de cumprimento moderado; 3 = para constatação de cumprimento forte);</t>
  </si>
  <si>
    <t>Divulgação da execução orçamentária e financeira detalhada dos últimos três anos - 2017, 2018 e 2019 - (0 = para constatação de cumprimento ausente, 1 = para constatação de cumprimento fraco; 2 = para constatação de cumprimento moderado; 3 = para constatação de cumprimento forte);</t>
  </si>
  <si>
    <t>Rol das informações que tenham sido desclassificadas nos últimos 12 (doze) meses - (0 = para constatação de cumprimento ausente, 1 = para constatação de cumprimento fraco; 2 = para constatação de cumprimento moderado; 3 = para constatação de cumprimento forte);</t>
  </si>
  <si>
    <t>Rol de documentos classificados em cada grau de sigilo, com identificação para referência futura - (0 = para constatação de cumprimento ausente, 1 = para constatação de cumprimento fraco; 2 = para constatação de cumprimento moderado; 3 = para constatação de cumprimento forte);</t>
  </si>
  <si>
    <t>Relatório estatístico contendo a quantidade de pedidos de informação recebidos, atendidos e indeferidos, bem como informações genéricas sobre os solicitantes - últimos três anos - 2017, 2018 e 2019 - (0 = para constatação de cumprimento ausente, 1 = para constatação de cumprimento fraco; 2 = para constatação de cumprimento moderado; 3 = para constatação de cumprimento forte);</t>
  </si>
  <si>
    <t>Licitações - Divulgação em seus sítios na Internet de informações sobre licitações realizadas e em andamento, com editais, anexos e resultados, além dos contratos firmados e notas de empenho emitidas - (0 = para constatação de cumprimento ausente, 1 = para constatação de cumprimento fraco; 2 = para constatação de cumprimento moderado; 3 = para constatação de cumprimento forte);</t>
  </si>
  <si>
    <t>Registro das competências e estrutura organizacional, endereços e telefones das respectivas unidades e horários de atendimento ao público - (0 = para constatação de cumprimento ausente, 1 = para constatação de cumprimento fraco; 2 = para constatação de cumprimento moderado; 3 = para constatação de cumprimento forte);</t>
  </si>
  <si>
    <t>Divulgação do contato da autoridade de monitoramento, telefone e correio eletrônico do Serviço de Informações ao Cidadão – SIC - (0 = para constatação de cumprimento ausente e 3 = para constatação de cumprimento forte) equivalente a Não ou Sim;</t>
  </si>
  <si>
    <t>Serviço de Informações ao Cidadão (SIC), como alternativa de encaminhamento de pedidos de acesso por meio de seus sítios oficiais na internet - (0 = para constatação de cumprimento ausente e 3 = para constatação de cumprimento forte) equivalente a Não ou Sim;</t>
  </si>
  <si>
    <t>Receber e registrar pedidos de acesso à informação - (0 = para constatação de cumprimento ausente e 3 = para constatação de cumprimento forte) equivalente a Não ou Sim;</t>
  </si>
  <si>
    <t>Conceder, sempre que possível, acesso imediato à informação - (0 = para constatação de cumprimento ausente e 3 = para constatação de cumprimento forte) equivalente a Não ou Sim;</t>
  </si>
  <si>
    <t>Prorrogação do prazo para resposta do pedido por dez dias, mediante justificativa encaminhada ao requerente antes do término do prazo inicial de vinte dias - (0 = para constatação de cumprimento ausente, 3 = para constatação de cumprimento forte e NS = para os casos em que houve resposta imediata ou dentro do prazo de 20 dias);</t>
  </si>
  <si>
    <t>Envio ao requerente comunicação com o número de protocolo e a data do recebimento do pedido pelo SIC - (0 = para constatação de cumprimento ausente e 3 = para constatação de cumprimento forte) equivalente a Não ou Sim;</t>
  </si>
  <si>
    <t>Ausência de exigências relativas aos motivos do pedido de acesso à informação - (0 = para constatação de cumprimento ausente e 3 = para constatação de cumprimento forte) equivalente a Não ou Sim;</t>
  </si>
  <si>
    <t>Certidão de inteiro teor de decisão de negativa de acesso - É direito do requerente obter o inteiro teor de decisão de negativa de acesso, por certidão ou cópia - (0 = para constatação de cumprimento ausente e 3 = para constatação de cumprimento forte e NS = quando não se aplicar);</t>
  </si>
  <si>
    <t>Negativa do pedido com indicação e comunicação das razões e possibilidade de recurso - Em caso de negativa do pedido de acesso à informação, enviar ao requerente, no prazo de resposta, comunicação com as razões da negativa de acesso e seu fundamento legal, bem como possibilidade e prazo de recurso, com indicação da autoridade que o apreciaria - (0 = para constatação de cumprimento ausente e 3 = para constatação de cumprimento forte e NS = quando não se aplicar);</t>
  </si>
  <si>
    <t>Nos casos em que a informação já esteja disponível ao público em formato impresso, eletrônico ou em outro meio de acesso universal, orientar ao requerente quanto ao local e modo para consultar, obter ou reproduzir a informação - (0 = para constatação de cumprimento ausente ou omissão/ausência de resposta, 1 = para constatação de cumprimento fraco; 2 = para constatação de cumprimento moderado; 3 = para constatação de cumprimento forte e NS = quando não se aplicar);</t>
  </si>
  <si>
    <t>Envio de resposta - Concedeu acesso à informação enviando resposta ao que foi requisitado - (0 = para constatação de cumprimento ausente, 1 = para constatação de cumprimento fraco; 2 = para constatação de cumprimento moderado; 3 = para constatação de cumprimento forte);</t>
  </si>
  <si>
    <t>Não ocorrência de omissão de resposta ao pedido de acesso à informação - (0 = para constatação de cumprimento ausente, 1 = para constatação de cumprimento fraco (resposta evasiva), 2 = para constatação de cumprimento moderado (resposta parcial) e 3 = para constatação de cumprimento forte);</t>
  </si>
  <si>
    <t>Possibilidade de apresentar Reclamação/Recurso (botão recurso) - no caso de omissão de resposta ao pedido de acesso à informação (trinta dias após sua apresentação), o requerente poderá apresentar reclamação no prazo de dez dias à autoridade de monitoramento - (0 = para constatação de cumprimento ausente e 3 = para constatação de cumprimento forte) equivalente a Não ou Sim.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</si>
  <si>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</si>
  <si>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</si>
  <si>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</si>
  <si>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</si>
  <si>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</si>
  <si>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</si>
  <si>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</si>
  <si>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</si>
  <si>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</si>
  <si>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</si>
  <si>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</si>
  <si>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</si>
  <si>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Q13</t>
  </si>
  <si>
    <t>Q14</t>
  </si>
  <si>
    <t>Q15</t>
  </si>
  <si>
    <t>Q16</t>
  </si>
  <si>
    <t>Q17</t>
  </si>
  <si>
    <t>Q18</t>
  </si>
  <si>
    <t>Q19</t>
  </si>
  <si>
    <t>Q20</t>
  </si>
  <si>
    <t>Q21</t>
  </si>
  <si>
    <t>Q22</t>
  </si>
  <si>
    <t>Q23</t>
  </si>
  <si>
    <t>Q24</t>
  </si>
  <si>
    <t>Q25</t>
  </si>
  <si>
    <t>Q26</t>
  </si>
  <si>
    <t>Q27</t>
  </si>
  <si>
    <t>Q28</t>
  </si>
  <si>
    <t>Q29</t>
  </si>
  <si>
    <t>Q30</t>
  </si>
  <si>
    <t>Q31</t>
  </si>
  <si>
    <t>Q32</t>
  </si>
  <si>
    <t>TOTAL DE PONTOS - TRANSPARÊNCIA PASSIVA</t>
  </si>
  <si>
    <t>TOTAL DE PONTOS - TRANSPARÊNCIA ATIVA</t>
  </si>
  <si>
    <t>NOTA</t>
  </si>
  <si>
    <t>Instrumento de Avaliação de Acesso à Informação</t>
  </si>
  <si>
    <t>TOTAL GERAL DE PONTOS POSSÍVEIS COM APLICAÇÃO NA ÍNTEGRA DO INSTRUMENTO</t>
  </si>
  <si>
    <t>A planilha está protegida e os campos permitidos para digitação estão disponíveis.</t>
  </si>
  <si>
    <t>Para edição deverá desproteger a planilha na guia 'revisão'.</t>
  </si>
  <si>
    <t>Aplicação do Instrumento de Avaliação de Acesso à Informação</t>
  </si>
  <si>
    <t>Quantidade de Células Vazias em Transparência Ativa</t>
  </si>
  <si>
    <t>Quantidade de Células Vazias em Transparência Passiva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</si>
</sst>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0"/>
      <color rgb="FF000000"/>
      <name val="TimesNewRomanPS-BoldMT"/>
    </font>
    <font>
      <sz val="12"/>
      <color rgb="FF000000"/>
      <name val="TimesNewRomanPSMT"/>
    </font>
    <font>
      <b/>
      <sz val="8"/>
      <color theme="1"/>
      <name val="Arial"/>
      <family val="2"/>
    </font>
    <font>
      <sz val="8.5"/>
      <color theme="1"/>
      <name val="Arial"/>
      <family val="2"/>
    </font>
    <font>
      <b/>
      <sz val="8.5"/>
      <color theme="1"/>
      <name val="Arial"/>
      <family val="2"/>
    </font>
    <font>
      <sz val="11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u/>
      <sz val="10"/>
      <color theme="1"/>
      <name val="Arial"/>
      <family val="2"/>
    </font>
    <font>
      <sz val="11"/>
      <color rgb="FF000000"/>
      <name val="Arial"/>
      <family val="2"/>
    </font>
    <font>
      <b/>
      <sz val="11"/>
      <color rgb="FF000000"/>
      <name val="Arial"/>
      <family val="2"/>
    </font>
    <font>
      <b/>
      <sz val="11"/>
      <color theme="0"/>
      <name val="Arial"/>
      <family val="2"/>
    </font>
    <font>
      <b/>
      <sz val="8"/>
      <color theme="0"/>
      <name val="Arial"/>
      <family val="2"/>
    </font>
    <font>
      <b/>
      <sz val="10"/>
      <name val="Arial"/>
      <family val="2"/>
    </font>
    <font>
      <sz val="1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-0.249977111117893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82">
    <xf numFmtId="0" fontId="0" fillId="0" borderId="0" xfId="0"/>
    <xf numFmtId="0" fontId="2" fillId="0" borderId="0" xfId="0" applyFont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4" fillId="0" borderId="0" xfId="0" applyFont="1"/>
    <xf numFmtId="0" fontId="5" fillId="0" borderId="1" xfId="0" applyFont="1" applyBorder="1" applyAlignment="1">
      <alignment horizontal="center" vertical="center" wrapText="1"/>
    </xf>
    <xf numFmtId="2" fontId="5" fillId="0" borderId="1" xfId="0" applyNumberFormat="1" applyFont="1" applyBorder="1" applyAlignment="1">
      <alignment vertical="center" wrapText="1"/>
    </xf>
    <xf numFmtId="0" fontId="6" fillId="3" borderId="1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2" fillId="0" borderId="0" xfId="0" applyFont="1" applyBorder="1" applyAlignment="1">
      <alignment horizontal="left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8" fillId="5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2" fillId="0" borderId="10" xfId="0" applyFont="1" applyBorder="1" applyAlignment="1">
      <alignment horizontal="left" vertical="center" wrapText="1"/>
    </xf>
    <xf numFmtId="0" fontId="7" fillId="0" borderId="0" xfId="0" applyFont="1" applyAlignment="1">
      <alignment horizontal="center" vertical="center" wrapText="1"/>
    </xf>
    <xf numFmtId="0" fontId="7" fillId="0" borderId="0" xfId="0" applyFont="1" applyAlignment="1">
      <alignment vertical="center" wrapText="1"/>
    </xf>
    <xf numFmtId="0" fontId="8" fillId="0" borderId="1" xfId="0" applyFont="1" applyFill="1" applyBorder="1" applyAlignment="1">
      <alignment horizontal="center" vertical="center" wrapText="1"/>
    </xf>
    <xf numFmtId="9" fontId="8" fillId="0" borderId="1" xfId="1" applyFont="1" applyFill="1" applyBorder="1" applyAlignment="1">
      <alignment horizontal="center" vertical="center" wrapText="1"/>
    </xf>
    <xf numFmtId="0" fontId="2" fillId="0" borderId="0" xfId="0" applyFont="1" applyBorder="1" applyAlignment="1">
      <alignment horizontal="right" vertic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left" vertical="center" wrapText="1"/>
    </xf>
    <xf numFmtId="0" fontId="10" fillId="0" borderId="1" xfId="0" applyFont="1" applyBorder="1" applyAlignment="1">
      <alignment horizontal="justify" vertical="center" wrapText="1"/>
    </xf>
    <xf numFmtId="0" fontId="11" fillId="0" borderId="1" xfId="0" applyFont="1" applyBorder="1" applyAlignment="1">
      <alignment horizontal="justify" vertical="center" wrapText="1"/>
    </xf>
    <xf numFmtId="0" fontId="13" fillId="0" borderId="0" xfId="0" applyFont="1" applyAlignment="1">
      <alignment horizontal="center" vertical="center" wrapText="1"/>
    </xf>
    <xf numFmtId="0" fontId="13" fillId="0" borderId="0" xfId="0" applyFont="1" applyAlignment="1">
      <alignment vertical="center" wrapText="1"/>
    </xf>
    <xf numFmtId="0" fontId="12" fillId="2" borderId="1" xfId="0" applyFont="1" applyFill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14" fontId="13" fillId="0" borderId="0" xfId="0" applyNumberFormat="1" applyFont="1" applyAlignment="1">
      <alignment vertical="center" wrapText="1"/>
    </xf>
    <xf numFmtId="0" fontId="13" fillId="0" borderId="5" xfId="0" applyFont="1" applyBorder="1" applyAlignment="1">
      <alignment horizontal="left" vertical="center" wrapText="1"/>
    </xf>
    <xf numFmtId="0" fontId="12" fillId="0" borderId="9" xfId="0" applyFont="1" applyBorder="1" applyAlignment="1">
      <alignment horizontal="center" vertical="center" wrapText="1"/>
    </xf>
    <xf numFmtId="0" fontId="14" fillId="0" borderId="0" xfId="0" applyFont="1" applyAlignment="1">
      <alignment horizontal="center"/>
    </xf>
    <xf numFmtId="0" fontId="11" fillId="0" borderId="9" xfId="0" applyFont="1" applyBorder="1" applyAlignment="1">
      <alignment horizontal="justify" vertical="center" wrapText="1"/>
    </xf>
    <xf numFmtId="10" fontId="8" fillId="0" borderId="1" xfId="1" applyNumberFormat="1" applyFont="1" applyFill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0" fontId="16" fillId="0" borderId="1" xfId="0" applyFont="1" applyBorder="1" applyAlignment="1">
      <alignment horizontal="right" vertical="center" wrapText="1"/>
    </xf>
    <xf numFmtId="2" fontId="16" fillId="0" borderId="1" xfId="0" applyNumberFormat="1" applyFont="1" applyBorder="1" applyAlignment="1">
      <alignment vertical="center" wrapText="1"/>
    </xf>
    <xf numFmtId="0" fontId="16" fillId="0" borderId="1" xfId="0" applyFont="1" applyBorder="1" applyAlignment="1">
      <alignment horizontal="center" vertical="center" wrapText="1"/>
    </xf>
    <xf numFmtId="0" fontId="17" fillId="0" borderId="2" xfId="0" applyFont="1" applyBorder="1" applyAlignment="1">
      <alignment horizontal="center" vertical="center" wrapText="1"/>
    </xf>
    <xf numFmtId="0" fontId="17" fillId="0" borderId="5" xfId="0" applyFont="1" applyBorder="1" applyAlignment="1">
      <alignment horizontal="center" vertical="center" wrapText="1"/>
    </xf>
    <xf numFmtId="10" fontId="8" fillId="6" borderId="1" xfId="1" applyNumberFormat="1" applyFont="1" applyFill="1" applyBorder="1" applyAlignment="1">
      <alignment horizontal="center" vertical="center" wrapText="1"/>
    </xf>
    <xf numFmtId="10" fontId="8" fillId="5" borderId="1" xfId="1" applyNumberFormat="1" applyFont="1" applyFill="1" applyBorder="1" applyAlignment="1">
      <alignment horizontal="center" vertical="center" wrapText="1"/>
    </xf>
    <xf numFmtId="0" fontId="7" fillId="4" borderId="1" xfId="0" applyFont="1" applyFill="1" applyBorder="1" applyAlignment="1" applyProtection="1">
      <alignment horizontal="center" vertical="center" wrapText="1"/>
      <protection locked="0"/>
    </xf>
    <xf numFmtId="0" fontId="7" fillId="5" borderId="1" xfId="0" applyFont="1" applyFill="1" applyBorder="1" applyAlignment="1" applyProtection="1">
      <alignment horizontal="center" vertical="center" wrapText="1"/>
      <protection locked="0"/>
    </xf>
    <xf numFmtId="0" fontId="7" fillId="6" borderId="1" xfId="0" applyFont="1" applyFill="1" applyBorder="1" applyAlignment="1" applyProtection="1">
      <alignment horizontal="center" vertical="center" wrapText="1"/>
      <protection locked="0"/>
    </xf>
    <xf numFmtId="0" fontId="13" fillId="0" borderId="1" xfId="0" applyFont="1" applyBorder="1" applyAlignment="1" applyProtection="1">
      <alignment horizontal="center" vertical="center" wrapText="1"/>
      <protection locked="0"/>
    </xf>
    <xf numFmtId="0" fontId="13" fillId="0" borderId="5" xfId="0" applyFont="1" applyBorder="1" applyAlignment="1" applyProtection="1">
      <alignment horizontal="center" vertical="center" wrapText="1"/>
      <protection locked="0"/>
    </xf>
    <xf numFmtId="0" fontId="18" fillId="7" borderId="1" xfId="0" applyFont="1" applyFill="1" applyBorder="1" applyAlignment="1">
      <alignment horizontal="center" vertical="center" wrapText="1"/>
    </xf>
    <xf numFmtId="0" fontId="19" fillId="7" borderId="1" xfId="0" applyFont="1" applyFill="1" applyBorder="1" applyAlignment="1">
      <alignment horizontal="center" vertical="center"/>
    </xf>
    <xf numFmtId="9" fontId="8" fillId="3" borderId="1" xfId="1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21" fillId="2" borderId="1" xfId="0" applyFont="1" applyFill="1" applyBorder="1" applyAlignment="1">
      <alignment horizontal="center" vertical="center" wrapText="1"/>
    </xf>
    <xf numFmtId="0" fontId="20" fillId="2" borderId="1" xfId="0" applyFont="1" applyFill="1" applyBorder="1" applyAlignment="1">
      <alignment horizontal="center" vertical="center" wrapText="1"/>
    </xf>
    <xf numFmtId="0" fontId="12" fillId="0" borderId="6" xfId="0" applyFont="1" applyBorder="1" applyAlignment="1">
      <alignment horizontal="right" vertical="center" wrapText="1"/>
    </xf>
    <xf numFmtId="0" fontId="12" fillId="0" borderId="7" xfId="0" applyFont="1" applyBorder="1" applyAlignment="1">
      <alignment horizontal="right" vertical="center" wrapText="1"/>
    </xf>
    <xf numFmtId="0" fontId="12" fillId="0" borderId="8" xfId="0" applyFont="1" applyBorder="1" applyAlignment="1">
      <alignment horizontal="right" vertical="center" wrapText="1"/>
    </xf>
    <xf numFmtId="0" fontId="12" fillId="0" borderId="1" xfId="0" applyFont="1" applyBorder="1" applyAlignment="1">
      <alignment horizontal="center" vertical="center" wrapText="1"/>
    </xf>
    <xf numFmtId="0" fontId="18" fillId="7" borderId="6" xfId="0" applyFont="1" applyFill="1" applyBorder="1" applyAlignment="1">
      <alignment horizontal="center" vertical="center" wrapText="1"/>
    </xf>
    <xf numFmtId="0" fontId="18" fillId="7" borderId="7" xfId="0" applyFont="1" applyFill="1" applyBorder="1" applyAlignment="1">
      <alignment horizontal="center" vertical="center" wrapText="1"/>
    </xf>
    <xf numFmtId="0" fontId="2" fillId="5" borderId="3" xfId="0" applyFont="1" applyFill="1" applyBorder="1" applyAlignment="1">
      <alignment horizontal="left" vertical="center" wrapText="1"/>
    </xf>
    <xf numFmtId="0" fontId="2" fillId="5" borderId="5" xfId="0" applyFont="1" applyFill="1" applyBorder="1" applyAlignment="1">
      <alignment horizontal="left" vertical="center" wrapText="1"/>
    </xf>
    <xf numFmtId="0" fontId="2" fillId="4" borderId="3" xfId="0" applyFont="1" applyFill="1" applyBorder="1" applyAlignment="1">
      <alignment horizontal="left" vertical="center" wrapText="1"/>
    </xf>
    <xf numFmtId="0" fontId="2" fillId="4" borderId="5" xfId="0" applyFont="1" applyFill="1" applyBorder="1" applyAlignment="1">
      <alignment horizontal="left" vertical="center" wrapText="1"/>
    </xf>
    <xf numFmtId="0" fontId="2" fillId="6" borderId="3" xfId="0" applyFont="1" applyFill="1" applyBorder="1" applyAlignment="1">
      <alignment horizontal="left" vertical="center" wrapText="1"/>
    </xf>
    <xf numFmtId="0" fontId="2" fillId="6" borderId="5" xfId="0" applyFont="1" applyFill="1" applyBorder="1" applyAlignment="1">
      <alignment horizontal="left" vertical="center" wrapText="1"/>
    </xf>
    <xf numFmtId="0" fontId="9" fillId="5" borderId="3" xfId="0" applyFont="1" applyFill="1" applyBorder="1" applyAlignment="1">
      <alignment horizontal="left" vertical="center" wrapText="1"/>
    </xf>
    <xf numFmtId="0" fontId="9" fillId="5" borderId="5" xfId="0" applyFont="1" applyFill="1" applyBorder="1" applyAlignment="1">
      <alignment horizontal="left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18" fillId="7" borderId="3" xfId="0" applyFont="1" applyFill="1" applyBorder="1" applyAlignment="1">
      <alignment horizontal="center" vertical="center" wrapText="1"/>
    </xf>
    <xf numFmtId="0" fontId="18" fillId="7" borderId="5" xfId="0" applyFont="1" applyFill="1" applyBorder="1" applyAlignment="1">
      <alignment horizontal="center" vertical="center" wrapText="1"/>
    </xf>
    <xf numFmtId="0" fontId="20" fillId="2" borderId="1" xfId="0" applyFont="1" applyFill="1" applyBorder="1" applyAlignment="1">
      <alignment horizontal="left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10" xfId="0" applyFont="1" applyBorder="1" applyAlignment="1">
      <alignment horizontal="right" vertical="center" wrapText="1"/>
    </xf>
    <xf numFmtId="0" fontId="9" fillId="6" borderId="3" xfId="0" applyFont="1" applyFill="1" applyBorder="1" applyAlignment="1">
      <alignment horizontal="left" vertical="center" wrapText="1"/>
    </xf>
    <xf numFmtId="0" fontId="9" fillId="6" borderId="5" xfId="0" applyFont="1" applyFill="1" applyBorder="1" applyAlignment="1">
      <alignment horizontal="left" vertical="center" wrapText="1"/>
    </xf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352425</xdr:colOff>
          <xdr:row>3</xdr:row>
          <xdr:rowOff>85725</xdr:rowOff>
        </xdr:from>
        <xdr:to>
          <xdr:col>5</xdr:col>
          <xdr:colOff>9525</xdr:colOff>
          <xdr:row>3</xdr:row>
          <xdr:rowOff>476250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2</xdr:col>
          <xdr:colOff>1181100</xdr:colOff>
          <xdr:row>5</xdr:row>
          <xdr:rowOff>304800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B7CE3-EF6E-4AB4-9724-079E1CD1E8C2}">
  <sheetPr codeName="Planilha2"/>
  <dimension ref="A1:H56"/>
  <sheetViews>
    <sheetView showGridLines="0" tabSelected="1" zoomScaleNormal="100" workbookViewId="0">
      <pane ySplit="4" topLeftCell="A5" activePane="bottomLeft" state="frozen"/>
      <selection pane="bottomLeft" activeCell="B8" sqref="B8"/>
    </sheetView>
  </sheetViews>
  <sheetFormatPr defaultRowHeight="12.75"/>
  <cols>
    <col min="1" max="1" width="5.42578125" style="26" customWidth="1"/>
    <col min="2" max="2" width="77.140625" style="27" customWidth="1"/>
    <col min="3" max="3" width="32" style="26" customWidth="1"/>
    <col min="4" max="4" width="9.140625" style="26" customWidth="1"/>
    <col min="5" max="5" width="10.140625" style="26" customWidth="1"/>
    <col min="6" max="7" width="9.140625" style="27"/>
    <col min="8" max="8" width="11.28515625" style="27" bestFit="1" customWidth="1"/>
    <col min="9" max="16384" width="9.140625" style="27"/>
  </cols>
  <sheetData>
    <row r="1" spans="1:8" ht="15" customHeight="1">
      <c r="B1" s="60" t="s">
        <v>148</v>
      </c>
      <c r="C1" s="60"/>
      <c r="D1" s="60"/>
      <c r="E1" s="60"/>
    </row>
    <row r="2" spans="1:8" ht="14.25" customHeight="1"/>
    <row r="3" spans="1:8" ht="30" customHeight="1">
      <c r="B3" s="28" t="s">
        <v>0</v>
      </c>
      <c r="C3" s="28" t="s">
        <v>1</v>
      </c>
      <c r="D3" s="28" t="s">
        <v>147</v>
      </c>
      <c r="E3" s="28" t="s">
        <v>2</v>
      </c>
    </row>
    <row r="4" spans="1:8" ht="48.75" customHeight="1"/>
    <row r="5" spans="1:8" ht="15" customHeight="1">
      <c r="B5" s="61" t="s">
        <v>3</v>
      </c>
      <c r="C5" s="62"/>
      <c r="D5" s="62"/>
      <c r="E5" s="62"/>
    </row>
    <row r="6" spans="1:8" ht="38.25">
      <c r="A6" s="29" t="s">
        <v>113</v>
      </c>
      <c r="B6" s="35" t="s">
        <v>83</v>
      </c>
      <c r="C6" s="30" t="s">
        <v>75</v>
      </c>
      <c r="D6" s="49">
        <v>3</v>
      </c>
      <c r="E6" s="29">
        <f t="shared" ref="E6:E23" si="0">IF(D6=$A$47,$C$47,IF(D6=$A$48,$C$48,IF(D6=$A$49,$C$49,IF(D6=$A$50,$C$50,IF(D6="NS",100)))))</f>
        <v>100</v>
      </c>
    </row>
    <row r="7" spans="1:8" ht="63.75">
      <c r="A7" s="29" t="s">
        <v>114</v>
      </c>
      <c r="B7" s="35" t="s">
        <v>84</v>
      </c>
      <c r="C7" s="30" t="s">
        <v>4</v>
      </c>
      <c r="D7" s="49">
        <v>3</v>
      </c>
      <c r="E7" s="29">
        <f t="shared" si="0"/>
        <v>100</v>
      </c>
    </row>
    <row r="8" spans="1:8" ht="76.5">
      <c r="A8" s="29" t="s">
        <v>115</v>
      </c>
      <c r="B8" s="25" t="s">
        <v>85</v>
      </c>
      <c r="C8" s="30" t="s">
        <v>5</v>
      </c>
      <c r="D8" s="49">
        <v>3</v>
      </c>
      <c r="E8" s="29">
        <f t="shared" si="0"/>
        <v>100</v>
      </c>
    </row>
    <row r="9" spans="1:8" ht="63.75">
      <c r="A9" s="29" t="s">
        <v>116</v>
      </c>
      <c r="B9" s="25" t="s">
        <v>86</v>
      </c>
      <c r="C9" s="30" t="s">
        <v>6</v>
      </c>
      <c r="D9" s="49">
        <v>3</v>
      </c>
      <c r="E9" s="29">
        <f t="shared" si="0"/>
        <v>100</v>
      </c>
      <c r="H9" s="31"/>
    </row>
    <row r="10" spans="1:8" ht="76.5">
      <c r="A10" s="29" t="s">
        <v>117</v>
      </c>
      <c r="B10" s="25" t="s">
        <v>87</v>
      </c>
      <c r="C10" s="30" t="s">
        <v>78</v>
      </c>
      <c r="D10" s="49">
        <v>3</v>
      </c>
      <c r="E10" s="29">
        <f t="shared" si="0"/>
        <v>100</v>
      </c>
      <c r="H10" s="31"/>
    </row>
    <row r="11" spans="1:8" ht="51">
      <c r="A11" s="29" t="s">
        <v>118</v>
      </c>
      <c r="B11" s="25" t="s">
        <v>88</v>
      </c>
      <c r="C11" s="30" t="s">
        <v>74</v>
      </c>
      <c r="D11" s="49">
        <v>3</v>
      </c>
      <c r="E11" s="29">
        <f t="shared" si="0"/>
        <v>100</v>
      </c>
    </row>
    <row r="12" spans="1:8" ht="52.5" customHeight="1">
      <c r="A12" s="29" t="s">
        <v>119</v>
      </c>
      <c r="B12" s="25" t="s">
        <v>89</v>
      </c>
      <c r="C12" s="30" t="s">
        <v>8</v>
      </c>
      <c r="D12" s="49">
        <v>3</v>
      </c>
      <c r="E12" s="29">
        <f t="shared" si="0"/>
        <v>100</v>
      </c>
    </row>
    <row r="13" spans="1:8" ht="76.5">
      <c r="A13" s="29" t="s">
        <v>120</v>
      </c>
      <c r="B13" s="25" t="s">
        <v>90</v>
      </c>
      <c r="C13" s="30" t="s">
        <v>9</v>
      </c>
      <c r="D13" s="49">
        <v>3</v>
      </c>
      <c r="E13" s="29">
        <f t="shared" si="0"/>
        <v>100</v>
      </c>
    </row>
    <row r="14" spans="1:8" ht="38.25">
      <c r="A14" s="29" t="s">
        <v>121</v>
      </c>
      <c r="B14" s="25" t="s">
        <v>91</v>
      </c>
      <c r="C14" s="30" t="s">
        <v>10</v>
      </c>
      <c r="D14" s="49">
        <v>3</v>
      </c>
      <c r="E14" s="29">
        <f t="shared" si="0"/>
        <v>100</v>
      </c>
    </row>
    <row r="15" spans="1:8" ht="102">
      <c r="A15" s="29" t="s">
        <v>122</v>
      </c>
      <c r="B15" s="25" t="s">
        <v>92</v>
      </c>
      <c r="C15" s="30" t="s">
        <v>11</v>
      </c>
      <c r="D15" s="49">
        <v>3</v>
      </c>
      <c r="E15" s="29">
        <f t="shared" si="0"/>
        <v>100</v>
      </c>
    </row>
    <row r="16" spans="1:8" ht="51">
      <c r="A16" s="29" t="s">
        <v>123</v>
      </c>
      <c r="B16" s="25" t="s">
        <v>93</v>
      </c>
      <c r="C16" s="30" t="s">
        <v>7</v>
      </c>
      <c r="D16" s="49">
        <v>3</v>
      </c>
      <c r="E16" s="29">
        <f t="shared" si="0"/>
        <v>100</v>
      </c>
    </row>
    <row r="17" spans="1:5" ht="51">
      <c r="A17" s="29" t="s">
        <v>124</v>
      </c>
      <c r="B17" s="25" t="s">
        <v>94</v>
      </c>
      <c r="C17" s="30" t="s">
        <v>73</v>
      </c>
      <c r="D17" s="49">
        <v>3</v>
      </c>
      <c r="E17" s="29">
        <f t="shared" si="0"/>
        <v>100</v>
      </c>
    </row>
    <row r="18" spans="1:5" ht="51">
      <c r="A18" s="29" t="s">
        <v>125</v>
      </c>
      <c r="B18" s="25" t="s">
        <v>95</v>
      </c>
      <c r="C18" s="30" t="s">
        <v>53</v>
      </c>
      <c r="D18" s="49">
        <v>3</v>
      </c>
      <c r="E18" s="29">
        <f t="shared" si="0"/>
        <v>100</v>
      </c>
    </row>
    <row r="19" spans="1:5" ht="51">
      <c r="A19" s="29" t="s">
        <v>126</v>
      </c>
      <c r="B19" s="25" t="s">
        <v>96</v>
      </c>
      <c r="C19" s="30" t="s">
        <v>54</v>
      </c>
      <c r="D19" s="49">
        <v>3</v>
      </c>
      <c r="E19" s="29">
        <f t="shared" si="0"/>
        <v>100</v>
      </c>
    </row>
    <row r="20" spans="1:5" ht="63.75">
      <c r="A20" s="29" t="s">
        <v>127</v>
      </c>
      <c r="B20" s="25" t="s">
        <v>97</v>
      </c>
      <c r="C20" s="30" t="s">
        <v>12</v>
      </c>
      <c r="D20" s="49">
        <v>3</v>
      </c>
      <c r="E20" s="29">
        <f t="shared" si="0"/>
        <v>100</v>
      </c>
    </row>
    <row r="21" spans="1:5" ht="63.75">
      <c r="A21" s="29" t="s">
        <v>128</v>
      </c>
      <c r="B21" s="25" t="s">
        <v>98</v>
      </c>
      <c r="C21" s="30" t="s">
        <v>55</v>
      </c>
      <c r="D21" s="49">
        <v>3</v>
      </c>
      <c r="E21" s="29">
        <f t="shared" si="0"/>
        <v>100</v>
      </c>
    </row>
    <row r="22" spans="1:5" ht="51">
      <c r="A22" s="29" t="s">
        <v>129</v>
      </c>
      <c r="B22" s="25" t="s">
        <v>99</v>
      </c>
      <c r="C22" s="30" t="s">
        <v>13</v>
      </c>
      <c r="D22" s="49">
        <v>3</v>
      </c>
      <c r="E22" s="29">
        <f t="shared" si="0"/>
        <v>100</v>
      </c>
    </row>
    <row r="23" spans="1:5" ht="38.25">
      <c r="A23" s="29" t="s">
        <v>130</v>
      </c>
      <c r="B23" s="25" t="s">
        <v>100</v>
      </c>
      <c r="C23" s="30" t="s">
        <v>56</v>
      </c>
      <c r="D23" s="50">
        <v>3</v>
      </c>
      <c r="E23" s="29">
        <f t="shared" si="0"/>
        <v>100</v>
      </c>
    </row>
    <row r="24" spans="1:5" ht="19.5" customHeight="1">
      <c r="A24" s="27"/>
      <c r="B24" s="57" t="s">
        <v>146</v>
      </c>
      <c r="C24" s="58"/>
      <c r="D24" s="59"/>
      <c r="E24" s="33">
        <f>SUM(E6:E23)</f>
        <v>1800</v>
      </c>
    </row>
    <row r="25" spans="1:5" ht="19.5" customHeight="1">
      <c r="A25" s="37"/>
      <c r="B25" s="37"/>
      <c r="C25" s="37"/>
      <c r="D25" s="37"/>
      <c r="E25" s="37"/>
    </row>
    <row r="26" spans="1:5" ht="15" customHeight="1">
      <c r="A26" s="27"/>
      <c r="B26" s="61" t="s">
        <v>66</v>
      </c>
      <c r="C26" s="62"/>
      <c r="D26" s="62"/>
      <c r="E26" s="62"/>
    </row>
    <row r="27" spans="1:5" ht="51">
      <c r="A27" s="29" t="s">
        <v>131</v>
      </c>
      <c r="B27" s="25" t="s">
        <v>101</v>
      </c>
      <c r="C27" s="30" t="s">
        <v>57</v>
      </c>
      <c r="D27" s="49">
        <v>3</v>
      </c>
      <c r="E27" s="29">
        <f t="shared" ref="E27:E40" si="1">IF(D27=$A$47,$C$47,IF(D27=$A$48,$C$48,IF(D27=$A$49,$C$49,IF(D27=$A$50,$C$50,IF(D27="NS",100)))))</f>
        <v>100</v>
      </c>
    </row>
    <row r="28" spans="1:5" ht="38.25">
      <c r="A28" s="29" t="s">
        <v>132</v>
      </c>
      <c r="B28" s="25" t="s">
        <v>102</v>
      </c>
      <c r="C28" s="30" t="s">
        <v>16</v>
      </c>
      <c r="D28" s="49">
        <v>3</v>
      </c>
      <c r="E28" s="29">
        <f t="shared" si="1"/>
        <v>100</v>
      </c>
    </row>
    <row r="29" spans="1:5" ht="38.25">
      <c r="A29" s="29" t="s">
        <v>133</v>
      </c>
      <c r="B29" s="25" t="s">
        <v>103</v>
      </c>
      <c r="C29" s="30" t="s">
        <v>62</v>
      </c>
      <c r="D29" s="49">
        <v>3</v>
      </c>
      <c r="E29" s="29">
        <f t="shared" si="1"/>
        <v>100</v>
      </c>
    </row>
    <row r="30" spans="1:5" ht="51">
      <c r="A30" s="29" t="s">
        <v>134</v>
      </c>
      <c r="B30" s="25" t="s">
        <v>81</v>
      </c>
      <c r="C30" s="32" t="s">
        <v>60</v>
      </c>
      <c r="D30" s="49">
        <v>3</v>
      </c>
      <c r="E30" s="29">
        <f t="shared" si="1"/>
        <v>100</v>
      </c>
    </row>
    <row r="31" spans="1:5" ht="51">
      <c r="A31" s="29" t="s">
        <v>135</v>
      </c>
      <c r="B31" s="35" t="s">
        <v>104</v>
      </c>
      <c r="C31" s="32" t="s">
        <v>59</v>
      </c>
      <c r="D31" s="49">
        <v>3</v>
      </c>
      <c r="E31" s="29">
        <f t="shared" si="1"/>
        <v>100</v>
      </c>
    </row>
    <row r="32" spans="1:5" ht="25.5">
      <c r="A32" s="29" t="s">
        <v>136</v>
      </c>
      <c r="B32" s="24" t="s">
        <v>79</v>
      </c>
      <c r="C32" s="32" t="s">
        <v>17</v>
      </c>
      <c r="D32" s="49">
        <v>3</v>
      </c>
      <c r="E32" s="29">
        <f t="shared" si="1"/>
        <v>100</v>
      </c>
    </row>
    <row r="33" spans="1:8" ht="38.25">
      <c r="A33" s="29" t="s">
        <v>137</v>
      </c>
      <c r="B33" s="35" t="s">
        <v>105</v>
      </c>
      <c r="C33" s="32" t="s">
        <v>18</v>
      </c>
      <c r="D33" s="49">
        <v>3</v>
      </c>
      <c r="E33" s="29">
        <f t="shared" si="1"/>
        <v>100</v>
      </c>
    </row>
    <row r="34" spans="1:8" ht="38.25">
      <c r="A34" s="29" t="s">
        <v>138</v>
      </c>
      <c r="B34" s="25" t="s">
        <v>106</v>
      </c>
      <c r="C34" s="32" t="s">
        <v>69</v>
      </c>
      <c r="D34" s="49">
        <v>3</v>
      </c>
      <c r="E34" s="29">
        <f t="shared" si="1"/>
        <v>100</v>
      </c>
    </row>
    <row r="35" spans="1:8" ht="51">
      <c r="A35" s="29" t="s">
        <v>139</v>
      </c>
      <c r="B35" s="35" t="s">
        <v>107</v>
      </c>
      <c r="C35" s="32" t="s">
        <v>68</v>
      </c>
      <c r="D35" s="49">
        <v>3</v>
      </c>
      <c r="E35" s="29">
        <f t="shared" si="1"/>
        <v>100</v>
      </c>
    </row>
    <row r="36" spans="1:8" ht="111.75" customHeight="1">
      <c r="A36" s="29" t="s">
        <v>140</v>
      </c>
      <c r="B36" s="35" t="s">
        <v>108</v>
      </c>
      <c r="C36" s="32" t="s">
        <v>19</v>
      </c>
      <c r="D36" s="49">
        <v>3</v>
      </c>
      <c r="E36" s="29">
        <f t="shared" si="1"/>
        <v>100</v>
      </c>
    </row>
    <row r="37" spans="1:8" ht="104.25" customHeight="1">
      <c r="A37" s="29" t="s">
        <v>141</v>
      </c>
      <c r="B37" s="25" t="s">
        <v>109</v>
      </c>
      <c r="C37" s="32" t="s">
        <v>20</v>
      </c>
      <c r="D37" s="49">
        <v>3</v>
      </c>
      <c r="E37" s="29">
        <f t="shared" si="1"/>
        <v>100</v>
      </c>
      <c r="H37" s="38"/>
    </row>
    <row r="38" spans="1:8" ht="73.5" customHeight="1">
      <c r="A38" s="29" t="s">
        <v>142</v>
      </c>
      <c r="B38" s="35" t="s">
        <v>110</v>
      </c>
      <c r="C38" s="32" t="s">
        <v>77</v>
      </c>
      <c r="D38" s="49">
        <v>3</v>
      </c>
      <c r="E38" s="29">
        <f t="shared" si="1"/>
        <v>100</v>
      </c>
    </row>
    <row r="39" spans="1:8" ht="51">
      <c r="A39" s="29" t="s">
        <v>143</v>
      </c>
      <c r="B39" s="35" t="s">
        <v>111</v>
      </c>
      <c r="C39" s="32" t="s">
        <v>76</v>
      </c>
      <c r="D39" s="49">
        <v>3</v>
      </c>
      <c r="E39" s="29">
        <f t="shared" si="1"/>
        <v>100</v>
      </c>
    </row>
    <row r="40" spans="1:8" ht="63.75">
      <c r="A40" s="29" t="s">
        <v>144</v>
      </c>
      <c r="B40" s="35" t="s">
        <v>112</v>
      </c>
      <c r="C40" s="32" t="s">
        <v>67</v>
      </c>
      <c r="D40" s="49">
        <v>3</v>
      </c>
      <c r="E40" s="29">
        <f t="shared" si="1"/>
        <v>100</v>
      </c>
    </row>
    <row r="41" spans="1:8" ht="14.25" customHeight="1">
      <c r="B41" s="57" t="s">
        <v>145</v>
      </c>
      <c r="C41" s="58"/>
      <c r="D41" s="59"/>
      <c r="E41" s="33">
        <f>SUM(E27:E40)</f>
        <v>1400</v>
      </c>
    </row>
    <row r="42" spans="1:8" ht="14.25" customHeight="1">
      <c r="B42" s="57" t="s">
        <v>149</v>
      </c>
      <c r="C42" s="58"/>
      <c r="D42" s="59"/>
      <c r="E42" s="33">
        <f>E41+E24</f>
        <v>3200</v>
      </c>
    </row>
    <row r="44" spans="1:8">
      <c r="B44" s="5" t="s">
        <v>80</v>
      </c>
      <c r="C44" s="34"/>
    </row>
    <row r="46" spans="1:8" ht="15">
      <c r="A46" s="3"/>
      <c r="B46" s="42" t="s">
        <v>22</v>
      </c>
      <c r="C46" s="43" t="s">
        <v>23</v>
      </c>
    </row>
    <row r="47" spans="1:8" ht="14.25">
      <c r="A47" s="4">
        <v>0</v>
      </c>
      <c r="B47" s="39" t="s">
        <v>70</v>
      </c>
      <c r="C47" s="40">
        <v>0</v>
      </c>
    </row>
    <row r="48" spans="1:8" ht="14.25">
      <c r="A48" s="4">
        <v>1</v>
      </c>
      <c r="B48" s="39" t="s">
        <v>71</v>
      </c>
      <c r="C48" s="40">
        <v>33.33</v>
      </c>
    </row>
    <row r="49" spans="1:7" ht="14.25">
      <c r="A49" s="4">
        <v>2</v>
      </c>
      <c r="B49" s="39" t="s">
        <v>72</v>
      </c>
      <c r="C49" s="40">
        <v>50</v>
      </c>
    </row>
    <row r="50" spans="1:7" ht="14.25">
      <c r="A50" s="4">
        <v>3</v>
      </c>
      <c r="B50" s="39" t="s">
        <v>82</v>
      </c>
      <c r="C50" s="40">
        <v>100</v>
      </c>
    </row>
    <row r="51" spans="1:7" ht="14.25" customHeight="1">
      <c r="A51" s="41" t="s">
        <v>58</v>
      </c>
      <c r="B51" s="39" t="s">
        <v>61</v>
      </c>
      <c r="C51" s="40">
        <v>100</v>
      </c>
    </row>
    <row r="52" spans="1:7">
      <c r="G52" s="38"/>
    </row>
    <row r="55" spans="1:7" ht="15" customHeight="1">
      <c r="B55" s="3" t="s">
        <v>150</v>
      </c>
    </row>
    <row r="56" spans="1:7" ht="14.25">
      <c r="B56" s="3" t="s">
        <v>151</v>
      </c>
    </row>
  </sheetData>
  <sheetProtection sheet="1" objects="1" scenarios="1"/>
  <mergeCells count="6">
    <mergeCell ref="B41:D41"/>
    <mergeCell ref="B1:E1"/>
    <mergeCell ref="B42:D42"/>
    <mergeCell ref="B24:D24"/>
    <mergeCell ref="B5:E5"/>
    <mergeCell ref="B26:E26"/>
  </mergeCells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0</xdr:col>
                <xdr:colOff>352425</xdr:colOff>
                <xdr:row>3</xdr:row>
                <xdr:rowOff>85725</xdr:rowOff>
              </from>
              <to>
                <xdr:col>5</xdr:col>
                <xdr:colOff>9525</xdr:colOff>
                <xdr:row>3</xdr:row>
                <xdr:rowOff>476250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D55CB-A1C2-4F4D-B3B4-68906E4780E6}">
  <sheetPr codeName="Planilha1"/>
  <dimension ref="A1:BG94"/>
  <sheetViews>
    <sheetView showGridLines="0" zoomScale="115" zoomScaleNormal="115" workbookViewId="0">
      <pane ySplit="6" topLeftCell="A7" activePane="bottomLeft" state="frozen"/>
      <selection pane="bottomLeft" activeCell="B17" sqref="B17:C17"/>
    </sheetView>
  </sheetViews>
  <sheetFormatPr defaultRowHeight="14.25"/>
  <cols>
    <col min="1" max="1" width="10.5703125" style="1" customWidth="1"/>
    <col min="2" max="2" width="77.140625" style="3" customWidth="1"/>
    <col min="3" max="3" width="17.85546875" style="3" customWidth="1"/>
    <col min="4" max="4" width="4.85546875" style="18" customWidth="1"/>
    <col min="5" max="31" width="4.140625" style="18" customWidth="1"/>
    <col min="32" max="32" width="6.85546875" style="3" customWidth="1"/>
    <col min="33" max="16384" width="9.140625" style="3"/>
  </cols>
  <sheetData>
    <row r="1" spans="1:59" ht="15" customHeight="1">
      <c r="A1" s="77" t="s">
        <v>152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</row>
    <row r="2" spans="1:59" ht="14.25" hidden="1" customHeight="1"/>
    <row r="3" spans="1:59" ht="26.25" hidden="1" customHeight="1">
      <c r="A3" s="9" t="s">
        <v>14</v>
      </c>
    </row>
    <row r="4" spans="1:59" ht="14.25" customHeight="1">
      <c r="B4" s="1"/>
      <c r="C4" s="22"/>
      <c r="D4" s="71" t="s">
        <v>63</v>
      </c>
      <c r="E4" s="76"/>
      <c r="F4" s="76"/>
      <c r="G4" s="76"/>
      <c r="H4" s="76"/>
      <c r="I4" s="76"/>
      <c r="J4" s="76"/>
      <c r="K4" s="76"/>
      <c r="L4" s="76"/>
      <c r="M4" s="76"/>
      <c r="N4" s="76"/>
      <c r="O4" s="76"/>
      <c r="P4" s="76"/>
      <c r="Q4" s="76"/>
      <c r="R4" s="76"/>
      <c r="S4" s="76"/>
      <c r="T4" s="76"/>
      <c r="U4" s="76"/>
      <c r="V4" s="76"/>
      <c r="W4" s="76"/>
      <c r="X4" s="76"/>
      <c r="Y4" s="76"/>
      <c r="Z4" s="76"/>
      <c r="AA4" s="76"/>
      <c r="AB4" s="76"/>
      <c r="AC4" s="76"/>
      <c r="AD4" s="76"/>
      <c r="AE4" s="72"/>
    </row>
    <row r="5" spans="1:59" ht="18.75" customHeight="1">
      <c r="A5" s="51" t="s">
        <v>52</v>
      </c>
      <c r="B5" s="73" t="s">
        <v>0</v>
      </c>
      <c r="C5" s="74"/>
      <c r="D5" s="52" t="s">
        <v>24</v>
      </c>
      <c r="E5" s="52" t="s">
        <v>25</v>
      </c>
      <c r="F5" s="52" t="s">
        <v>26</v>
      </c>
      <c r="G5" s="52" t="s">
        <v>27</v>
      </c>
      <c r="H5" s="52" t="s">
        <v>28</v>
      </c>
      <c r="I5" s="52" t="s">
        <v>29</v>
      </c>
      <c r="J5" s="52" t="s">
        <v>30</v>
      </c>
      <c r="K5" s="52" t="s">
        <v>31</v>
      </c>
      <c r="L5" s="52" t="s">
        <v>32</v>
      </c>
      <c r="M5" s="52" t="s">
        <v>33</v>
      </c>
      <c r="N5" s="52" t="s">
        <v>34</v>
      </c>
      <c r="O5" s="52" t="s">
        <v>35</v>
      </c>
      <c r="P5" s="52" t="s">
        <v>36</v>
      </c>
      <c r="Q5" s="52" t="s">
        <v>37</v>
      </c>
      <c r="R5" s="52" t="s">
        <v>38</v>
      </c>
      <c r="S5" s="52" t="s">
        <v>39</v>
      </c>
      <c r="T5" s="52" t="s">
        <v>40</v>
      </c>
      <c r="U5" s="52" t="s">
        <v>41</v>
      </c>
      <c r="V5" s="52" t="s">
        <v>42</v>
      </c>
      <c r="W5" s="52" t="s">
        <v>43</v>
      </c>
      <c r="X5" s="52" t="s">
        <v>44</v>
      </c>
      <c r="Y5" s="52" t="s">
        <v>45</v>
      </c>
      <c r="Z5" s="52" t="s">
        <v>46</v>
      </c>
      <c r="AA5" s="52" t="s">
        <v>47</v>
      </c>
      <c r="AB5" s="52" t="s">
        <v>48</v>
      </c>
      <c r="AC5" s="52" t="s">
        <v>49</v>
      </c>
      <c r="AD5" s="52" t="s">
        <v>50</v>
      </c>
      <c r="AE5" s="52" t="s">
        <v>51</v>
      </c>
    </row>
    <row r="6" spans="1:59" ht="26.25" customHeight="1">
      <c r="A6" s="79"/>
      <c r="B6" s="79"/>
      <c r="C6" s="79"/>
      <c r="D6" s="53">
        <f>(D10+D52)/3200</f>
        <v>0.73958124999999997</v>
      </c>
      <c r="E6" s="53">
        <f t="shared" ref="E6:AE6" si="0">(E10+E52)/3200</f>
        <v>0.53125</v>
      </c>
      <c r="F6" s="53">
        <f t="shared" si="0"/>
        <v>0.63020624999999997</v>
      </c>
      <c r="G6" s="53">
        <f t="shared" si="0"/>
        <v>0.64583124999999997</v>
      </c>
      <c r="H6" s="53">
        <f t="shared" si="0"/>
        <v>0.63020624999999997</v>
      </c>
      <c r="I6" s="53">
        <f t="shared" si="0"/>
        <v>0.7343718749999999</v>
      </c>
      <c r="J6" s="53">
        <f t="shared" si="0"/>
        <v>0.72395312499999998</v>
      </c>
      <c r="K6" s="53">
        <f t="shared" si="0"/>
        <v>0.71353749999999994</v>
      </c>
      <c r="L6" s="53">
        <f t="shared" si="0"/>
        <v>0.73958124999999997</v>
      </c>
      <c r="M6" s="53">
        <f t="shared" si="0"/>
        <v>0.6718718749999999</v>
      </c>
      <c r="N6" s="53">
        <f t="shared" si="0"/>
        <v>0.59374687500000001</v>
      </c>
      <c r="O6" s="53">
        <f t="shared" si="0"/>
        <v>0.7968718749999999</v>
      </c>
      <c r="P6" s="53">
        <f t="shared" si="0"/>
        <v>0.61978749999999994</v>
      </c>
      <c r="Q6" s="53">
        <f t="shared" si="0"/>
        <v>0.6874968749999999</v>
      </c>
      <c r="R6" s="53">
        <f t="shared" si="0"/>
        <v>0.55207812499999998</v>
      </c>
      <c r="S6" s="53">
        <f t="shared" si="0"/>
        <v>0.6249968749999999</v>
      </c>
      <c r="T6" s="53">
        <f t="shared" si="0"/>
        <v>0.61458124999999997</v>
      </c>
      <c r="U6" s="53">
        <f t="shared" si="0"/>
        <v>0.60937187500000001</v>
      </c>
      <c r="V6" s="53">
        <f t="shared" si="0"/>
        <v>0.76041562499999993</v>
      </c>
      <c r="W6" s="53">
        <f t="shared" si="0"/>
        <v>0.77604062499999993</v>
      </c>
      <c r="X6" s="53">
        <f t="shared" si="0"/>
        <v>0.65104062499999993</v>
      </c>
      <c r="Y6" s="53">
        <f t="shared" si="0"/>
        <v>0.65104062499999993</v>
      </c>
      <c r="Z6" s="53">
        <f t="shared" si="0"/>
        <v>0.66145624999999997</v>
      </c>
      <c r="AA6" s="53">
        <f t="shared" si="0"/>
        <v>0.78645624999999997</v>
      </c>
      <c r="AB6" s="53">
        <f t="shared" si="0"/>
        <v>0.859375</v>
      </c>
      <c r="AC6" s="53">
        <f t="shared" si="0"/>
        <v>0.59374687500000001</v>
      </c>
      <c r="AD6" s="53">
        <f t="shared" si="0"/>
        <v>0.671875</v>
      </c>
      <c r="AE6" s="53">
        <f t="shared" si="0"/>
        <v>0.64583124999999997</v>
      </c>
    </row>
    <row r="7" spans="1:59" ht="23.25" customHeight="1">
      <c r="A7" s="21"/>
      <c r="B7" s="21"/>
      <c r="C7" s="21"/>
      <c r="D7" s="54">
        <f>(D10+D52)</f>
        <v>2366.66</v>
      </c>
      <c r="E7" s="54">
        <f t="shared" ref="E7:AE7" si="1">(E10+E52)</f>
        <v>1700</v>
      </c>
      <c r="F7" s="54">
        <f t="shared" si="1"/>
        <v>2016.6599999999999</v>
      </c>
      <c r="G7" s="54">
        <f t="shared" si="1"/>
        <v>2066.66</v>
      </c>
      <c r="H7" s="54">
        <f t="shared" si="1"/>
        <v>2016.6599999999999</v>
      </c>
      <c r="I7" s="54">
        <f t="shared" si="1"/>
        <v>2349.9899999999998</v>
      </c>
      <c r="J7" s="54">
        <f t="shared" si="1"/>
        <v>2316.65</v>
      </c>
      <c r="K7" s="54">
        <f>(K10+K52)</f>
        <v>2283.3199999999997</v>
      </c>
      <c r="L7" s="54">
        <f t="shared" si="1"/>
        <v>2366.66</v>
      </c>
      <c r="M7" s="54">
        <f t="shared" si="1"/>
        <v>2149.9899999999998</v>
      </c>
      <c r="N7" s="54">
        <f t="shared" si="1"/>
        <v>1899.99</v>
      </c>
      <c r="O7" s="54">
        <f t="shared" si="1"/>
        <v>2549.9899999999998</v>
      </c>
      <c r="P7" s="54">
        <f t="shared" si="1"/>
        <v>1983.3199999999997</v>
      </c>
      <c r="Q7" s="54">
        <f t="shared" si="1"/>
        <v>2199.9899999999998</v>
      </c>
      <c r="R7" s="54">
        <f t="shared" si="1"/>
        <v>1766.65</v>
      </c>
      <c r="S7" s="54">
        <f t="shared" si="1"/>
        <v>1999.9899999999998</v>
      </c>
      <c r="T7" s="54">
        <f t="shared" si="1"/>
        <v>1966.6599999999999</v>
      </c>
      <c r="U7" s="54">
        <f t="shared" si="1"/>
        <v>1949.99</v>
      </c>
      <c r="V7" s="54">
        <f t="shared" si="1"/>
        <v>2433.33</v>
      </c>
      <c r="W7" s="54">
        <f t="shared" si="1"/>
        <v>2483.33</v>
      </c>
      <c r="X7" s="54">
        <f t="shared" si="1"/>
        <v>2083.33</v>
      </c>
      <c r="Y7" s="54">
        <f t="shared" si="1"/>
        <v>2083.33</v>
      </c>
      <c r="Z7" s="54">
        <f t="shared" si="1"/>
        <v>2116.66</v>
      </c>
      <c r="AA7" s="54">
        <f>(AA10+AA52)</f>
        <v>2516.66</v>
      </c>
      <c r="AB7" s="54">
        <f t="shared" si="1"/>
        <v>2750</v>
      </c>
      <c r="AC7" s="54">
        <f t="shared" si="1"/>
        <v>1899.99</v>
      </c>
      <c r="AD7" s="54">
        <f t="shared" si="1"/>
        <v>2150</v>
      </c>
      <c r="AE7" s="54">
        <f t="shared" si="1"/>
        <v>2066.66</v>
      </c>
      <c r="AF7" s="21"/>
      <c r="AG7" s="21"/>
      <c r="AH7" s="21"/>
      <c r="AI7" s="21"/>
      <c r="AJ7" s="21"/>
      <c r="AK7" s="21"/>
      <c r="AL7" s="21"/>
      <c r="AM7" s="21"/>
      <c r="AN7" s="21"/>
      <c r="AO7" s="21"/>
      <c r="AP7" s="21"/>
      <c r="AQ7" s="21"/>
      <c r="AR7" s="21"/>
      <c r="AS7" s="21"/>
      <c r="AT7" s="21"/>
      <c r="AU7" s="21"/>
      <c r="AV7" s="21"/>
      <c r="AW7" s="21"/>
      <c r="AX7" s="21"/>
      <c r="AY7" s="21"/>
      <c r="AZ7" s="21"/>
      <c r="BA7" s="21"/>
      <c r="BB7" s="21"/>
      <c r="BC7" s="21"/>
      <c r="BD7" s="21"/>
      <c r="BE7" s="21"/>
      <c r="BF7" s="21"/>
      <c r="BG7" s="21"/>
    </row>
    <row r="8" spans="1:59" ht="23.25" customHeight="1">
      <c r="A8" s="21"/>
      <c r="B8" s="21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21"/>
      <c r="AT8" s="21"/>
      <c r="AU8" s="21"/>
      <c r="AV8" s="21"/>
      <c r="AW8" s="21"/>
      <c r="AX8" s="21"/>
      <c r="AY8" s="21"/>
      <c r="AZ8" s="21"/>
      <c r="BA8" s="21"/>
      <c r="BB8" s="21"/>
      <c r="BC8" s="21"/>
      <c r="BD8" s="21"/>
      <c r="BE8" s="21"/>
      <c r="BF8" s="21"/>
      <c r="BG8" s="21"/>
    </row>
    <row r="9" spans="1:59" ht="15.75" customHeight="1">
      <c r="A9" s="21"/>
      <c r="B9" s="21"/>
      <c r="C9" s="21"/>
      <c r="D9" s="71" t="s">
        <v>64</v>
      </c>
      <c r="E9" s="76"/>
      <c r="F9" s="76"/>
      <c r="G9" s="76"/>
      <c r="H9" s="76"/>
      <c r="I9" s="76"/>
      <c r="J9" s="76"/>
      <c r="K9" s="76"/>
      <c r="L9" s="76"/>
      <c r="M9" s="76"/>
      <c r="N9" s="76"/>
      <c r="O9" s="76"/>
      <c r="P9" s="76"/>
      <c r="Q9" s="76"/>
      <c r="R9" s="76"/>
      <c r="S9" s="76"/>
      <c r="T9" s="76"/>
      <c r="U9" s="76"/>
      <c r="V9" s="76"/>
      <c r="W9" s="76"/>
      <c r="X9" s="76"/>
      <c r="Y9" s="76"/>
      <c r="Z9" s="76"/>
      <c r="AA9" s="76"/>
      <c r="AB9" s="76"/>
      <c r="AC9" s="76"/>
      <c r="AD9" s="76"/>
      <c r="AE9" s="72"/>
    </row>
    <row r="10" spans="1:59" ht="18.75" customHeight="1">
      <c r="A10" s="78"/>
      <c r="B10" s="78"/>
      <c r="C10" s="78"/>
      <c r="D10" s="19">
        <f>SUM(D14+D16+D18+D20+D22+D24+D26+D28+D30+D32+D34+D36+D38+D40+D42+D44+D46+D48)</f>
        <v>1216.6599999999999</v>
      </c>
      <c r="E10" s="19">
        <f t="shared" ref="E10:AD10" si="2">SUM(E14+E16+E18+E20+E22+E24+E26+E28+E30+E32+E34+E36+E38+E40+E42+E44+E46+E48)</f>
        <v>900</v>
      </c>
      <c r="F10" s="19">
        <f t="shared" si="2"/>
        <v>1216.6599999999999</v>
      </c>
      <c r="G10" s="19">
        <f t="shared" si="2"/>
        <v>1266.6599999999999</v>
      </c>
      <c r="H10" s="19">
        <f t="shared" si="2"/>
        <v>1216.6599999999999</v>
      </c>
      <c r="I10" s="19">
        <f t="shared" si="2"/>
        <v>1199.99</v>
      </c>
      <c r="J10" s="19">
        <f t="shared" si="2"/>
        <v>1316.6599999999999</v>
      </c>
      <c r="K10" s="19">
        <f t="shared" si="2"/>
        <v>1316.6599999999999</v>
      </c>
      <c r="L10" s="19">
        <f t="shared" si="2"/>
        <v>1216.6599999999999</v>
      </c>
      <c r="M10" s="19">
        <f t="shared" si="2"/>
        <v>1349.9899999999998</v>
      </c>
      <c r="N10" s="19">
        <f t="shared" si="2"/>
        <v>1199.99</v>
      </c>
      <c r="O10" s="19">
        <f t="shared" si="2"/>
        <v>1249.99</v>
      </c>
      <c r="P10" s="19">
        <f t="shared" si="2"/>
        <v>1216.6599999999999</v>
      </c>
      <c r="Q10" s="19">
        <f t="shared" si="2"/>
        <v>1199.99</v>
      </c>
      <c r="R10" s="19">
        <f t="shared" si="2"/>
        <v>966.65000000000009</v>
      </c>
      <c r="S10" s="19">
        <f t="shared" si="2"/>
        <v>1199.9899999999998</v>
      </c>
      <c r="T10" s="19">
        <f t="shared" si="2"/>
        <v>1166.6599999999999</v>
      </c>
      <c r="U10" s="19">
        <f t="shared" si="2"/>
        <v>1149.99</v>
      </c>
      <c r="V10" s="19">
        <f t="shared" si="2"/>
        <v>1500</v>
      </c>
      <c r="W10" s="19">
        <f t="shared" si="2"/>
        <v>1283.33</v>
      </c>
      <c r="X10" s="19">
        <f t="shared" si="2"/>
        <v>1283.33</v>
      </c>
      <c r="Y10" s="19">
        <f t="shared" si="2"/>
        <v>1283.33</v>
      </c>
      <c r="Z10" s="19">
        <f t="shared" si="2"/>
        <v>1316.6599999999999</v>
      </c>
      <c r="AA10" s="19">
        <f t="shared" si="2"/>
        <v>1316.6599999999999</v>
      </c>
      <c r="AB10" s="19">
        <f t="shared" si="2"/>
        <v>1500</v>
      </c>
      <c r="AC10" s="19">
        <f t="shared" si="2"/>
        <v>1199.99</v>
      </c>
      <c r="AD10" s="19">
        <f t="shared" si="2"/>
        <v>1350</v>
      </c>
      <c r="AE10" s="19">
        <f>SUM(AE14+AE16+AE18+AE20+AE22+AE24+AE26+AE28+AE30+AE32+AE34+AE36+AE38+AE40+AE42+AE44+AE46+AE48)</f>
        <v>1300</v>
      </c>
    </row>
    <row r="11" spans="1:59" ht="18.75" customHeight="1">
      <c r="A11" s="78"/>
      <c r="B11" s="78"/>
      <c r="C11" s="78"/>
      <c r="D11" s="20">
        <f>D10/1800</f>
        <v>0.67592222222222209</v>
      </c>
      <c r="E11" s="20">
        <f t="shared" ref="E11:AD11" si="3">E10/1800</f>
        <v>0.5</v>
      </c>
      <c r="F11" s="20">
        <f t="shared" si="3"/>
        <v>0.67592222222222209</v>
      </c>
      <c r="G11" s="20">
        <f t="shared" si="3"/>
        <v>0.70369999999999988</v>
      </c>
      <c r="H11" s="20">
        <f t="shared" si="3"/>
        <v>0.67592222222222209</v>
      </c>
      <c r="I11" s="20">
        <f t="shared" si="3"/>
        <v>0.66666111111111115</v>
      </c>
      <c r="J11" s="20">
        <f t="shared" si="3"/>
        <v>0.73147777777777767</v>
      </c>
      <c r="K11" s="20">
        <f t="shared" si="3"/>
        <v>0.73147777777777767</v>
      </c>
      <c r="L11" s="20">
        <f t="shared" si="3"/>
        <v>0.67592222222222209</v>
      </c>
      <c r="M11" s="20">
        <f t="shared" si="3"/>
        <v>0.7499944444444443</v>
      </c>
      <c r="N11" s="20">
        <f t="shared" si="3"/>
        <v>0.66666111111111115</v>
      </c>
      <c r="O11" s="20">
        <f t="shared" si="3"/>
        <v>0.69443888888888894</v>
      </c>
      <c r="P11" s="20">
        <f t="shared" si="3"/>
        <v>0.67592222222222209</v>
      </c>
      <c r="Q11" s="20">
        <f t="shared" si="3"/>
        <v>0.66666111111111115</v>
      </c>
      <c r="R11" s="20">
        <f t="shared" si="3"/>
        <v>0.53702777777777788</v>
      </c>
      <c r="S11" s="20">
        <f t="shared" si="3"/>
        <v>0.66666111111111104</v>
      </c>
      <c r="T11" s="20">
        <f t="shared" si="3"/>
        <v>0.64814444444444441</v>
      </c>
      <c r="U11" s="20">
        <f t="shared" si="3"/>
        <v>0.63888333333333336</v>
      </c>
      <c r="V11" s="20">
        <f t="shared" si="3"/>
        <v>0.83333333333333337</v>
      </c>
      <c r="W11" s="20">
        <f t="shared" si="3"/>
        <v>0.71296111111111105</v>
      </c>
      <c r="X11" s="20">
        <f t="shared" si="3"/>
        <v>0.71296111111111105</v>
      </c>
      <c r="Y11" s="20">
        <f t="shared" si="3"/>
        <v>0.71296111111111105</v>
      </c>
      <c r="Z11" s="20">
        <f t="shared" si="3"/>
        <v>0.73147777777777767</v>
      </c>
      <c r="AA11" s="20">
        <f t="shared" si="3"/>
        <v>0.73147777777777767</v>
      </c>
      <c r="AB11" s="20">
        <f t="shared" si="3"/>
        <v>0.83333333333333337</v>
      </c>
      <c r="AC11" s="20">
        <f t="shared" si="3"/>
        <v>0.66666111111111115</v>
      </c>
      <c r="AD11" s="20">
        <f t="shared" si="3"/>
        <v>0.75</v>
      </c>
      <c r="AE11" s="20">
        <f>AE10/1800</f>
        <v>0.72222222222222221</v>
      </c>
    </row>
    <row r="12" spans="1:59" ht="15">
      <c r="B12" s="73" t="s">
        <v>3</v>
      </c>
      <c r="C12" s="74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</row>
    <row r="13" spans="1:59" ht="57" customHeight="1">
      <c r="A13" s="10" t="str">
        <f>Instrumento!A6</f>
        <v>Q1</v>
      </c>
      <c r="B13" s="65" t="str">
        <f>Instrumento!B6</f>
        <v>Perguntas Frequentes - Respostas a perguntas mais frequentes da sociedade - (0 = para constatação de cumprimento ausente e 3 = para constatação de cumprimento forte) equivalente a Não ou Sim;</v>
      </c>
      <c r="C13" s="66"/>
      <c r="D13" s="46">
        <v>3</v>
      </c>
      <c r="E13" s="46">
        <v>3</v>
      </c>
      <c r="F13" s="46">
        <v>3</v>
      </c>
      <c r="G13" s="46">
        <v>3</v>
      </c>
      <c r="H13" s="46">
        <v>3</v>
      </c>
      <c r="I13" s="46">
        <v>3</v>
      </c>
      <c r="J13" s="46">
        <v>3</v>
      </c>
      <c r="K13" s="46">
        <v>3</v>
      </c>
      <c r="L13" s="46">
        <v>3</v>
      </c>
      <c r="M13" s="46">
        <v>3</v>
      </c>
      <c r="N13" s="46">
        <v>3</v>
      </c>
      <c r="O13" s="46">
        <v>3</v>
      </c>
      <c r="P13" s="46">
        <v>3</v>
      </c>
      <c r="Q13" s="46">
        <v>3</v>
      </c>
      <c r="R13" s="46">
        <v>3</v>
      </c>
      <c r="S13" s="46">
        <v>3</v>
      </c>
      <c r="T13" s="46">
        <v>3</v>
      </c>
      <c r="U13" s="46">
        <v>3</v>
      </c>
      <c r="V13" s="46">
        <v>3</v>
      </c>
      <c r="W13" s="46">
        <v>3</v>
      </c>
      <c r="X13" s="46">
        <v>3</v>
      </c>
      <c r="Y13" s="46">
        <v>3</v>
      </c>
      <c r="Z13" s="46">
        <v>3</v>
      </c>
      <c r="AA13" s="46">
        <v>3</v>
      </c>
      <c r="AB13" s="46">
        <v>3</v>
      </c>
      <c r="AC13" s="46">
        <v>3</v>
      </c>
      <c r="AD13" s="46">
        <v>3</v>
      </c>
      <c r="AE13" s="46">
        <v>3</v>
      </c>
      <c r="AF13" s="36">
        <f>(COUNTIF(D13:AE13,1)+COUNTIF(D13:AE13,2)+COUNTIF(D13:AE13,3)+COUNTIF(D13:AE13,"NS"))/28</f>
        <v>1</v>
      </c>
    </row>
    <row r="14" spans="1:59">
      <c r="A14" s="3"/>
      <c r="B14" s="23"/>
      <c r="C14" s="23"/>
      <c r="D14" s="13">
        <f t="shared" ref="D14:AE14" si="4">IF(D13=$A$90,$C$90,IF(D13=$A$91,$C$91,IF(D13=$A$92,$C$92,IF(D13=$A$93,$C$93,IF(D13="NS",100)))))</f>
        <v>100</v>
      </c>
      <c r="E14" s="13">
        <f t="shared" si="4"/>
        <v>100</v>
      </c>
      <c r="F14" s="13">
        <f t="shared" si="4"/>
        <v>100</v>
      </c>
      <c r="G14" s="13">
        <f t="shared" si="4"/>
        <v>100</v>
      </c>
      <c r="H14" s="13">
        <f t="shared" si="4"/>
        <v>100</v>
      </c>
      <c r="I14" s="13">
        <f t="shared" si="4"/>
        <v>100</v>
      </c>
      <c r="J14" s="13">
        <f t="shared" si="4"/>
        <v>100</v>
      </c>
      <c r="K14" s="13">
        <f t="shared" si="4"/>
        <v>100</v>
      </c>
      <c r="L14" s="13">
        <f t="shared" si="4"/>
        <v>100</v>
      </c>
      <c r="M14" s="13">
        <f t="shared" si="4"/>
        <v>100</v>
      </c>
      <c r="N14" s="13">
        <f t="shared" si="4"/>
        <v>100</v>
      </c>
      <c r="O14" s="13">
        <f t="shared" si="4"/>
        <v>100</v>
      </c>
      <c r="P14" s="13">
        <f t="shared" si="4"/>
        <v>100</v>
      </c>
      <c r="Q14" s="13">
        <f t="shared" si="4"/>
        <v>100</v>
      </c>
      <c r="R14" s="13">
        <f t="shared" si="4"/>
        <v>100</v>
      </c>
      <c r="S14" s="13">
        <f t="shared" si="4"/>
        <v>100</v>
      </c>
      <c r="T14" s="13">
        <f t="shared" si="4"/>
        <v>100</v>
      </c>
      <c r="U14" s="13">
        <f t="shared" si="4"/>
        <v>100</v>
      </c>
      <c r="V14" s="13">
        <f t="shared" si="4"/>
        <v>100</v>
      </c>
      <c r="W14" s="13">
        <f t="shared" si="4"/>
        <v>100</v>
      </c>
      <c r="X14" s="13">
        <f t="shared" si="4"/>
        <v>100</v>
      </c>
      <c r="Y14" s="13">
        <f t="shared" si="4"/>
        <v>100</v>
      </c>
      <c r="Z14" s="13">
        <f t="shared" si="4"/>
        <v>100</v>
      </c>
      <c r="AA14" s="13">
        <f t="shared" si="4"/>
        <v>100</v>
      </c>
      <c r="AB14" s="13">
        <f t="shared" si="4"/>
        <v>100</v>
      </c>
      <c r="AC14" s="13">
        <f t="shared" si="4"/>
        <v>100</v>
      </c>
      <c r="AD14" s="13">
        <f t="shared" si="4"/>
        <v>100</v>
      </c>
      <c r="AE14" s="13">
        <f t="shared" si="4"/>
        <v>100</v>
      </c>
      <c r="AF14" s="36">
        <f t="shared" ref="AF14:AF77" si="5">SUM(D14:AE14)/2800</f>
        <v>1</v>
      </c>
    </row>
    <row r="15" spans="1:59" ht="57.75" customHeight="1">
      <c r="A15" s="12" t="str">
        <f>Instrumento!A7</f>
        <v>Q2</v>
      </c>
      <c r="B15" s="63" t="str">
        <f>Instrumento!B7</f>
        <v>Ferramenta de busca – Conter ferramenta de pesquisa de conteúdo que permita o acesso à informação de forma objetiva, transparente, clara e em linguagem de fácil compreensão - (0 = para constatação de cumprimento ausente, 1 = para constatação de cumprimento fraco; 2 = para constatação de cumprimento moderado; 3 = para constatação de cumprimento forte);</v>
      </c>
      <c r="C15" s="64"/>
      <c r="D15" s="47">
        <v>1</v>
      </c>
      <c r="E15" s="47">
        <v>0</v>
      </c>
      <c r="F15" s="47">
        <v>1</v>
      </c>
      <c r="G15" s="47">
        <v>1</v>
      </c>
      <c r="H15" s="47">
        <v>1</v>
      </c>
      <c r="I15" s="47">
        <v>1</v>
      </c>
      <c r="J15" s="47">
        <v>1</v>
      </c>
      <c r="K15" s="47">
        <v>1</v>
      </c>
      <c r="L15" s="47">
        <v>1</v>
      </c>
      <c r="M15" s="47">
        <v>1</v>
      </c>
      <c r="N15" s="47">
        <v>1</v>
      </c>
      <c r="O15" s="47">
        <v>1</v>
      </c>
      <c r="P15" s="47">
        <v>1</v>
      </c>
      <c r="Q15" s="47">
        <v>1</v>
      </c>
      <c r="R15" s="47">
        <v>1</v>
      </c>
      <c r="S15" s="47">
        <v>1</v>
      </c>
      <c r="T15" s="47">
        <v>1</v>
      </c>
      <c r="U15" s="47">
        <v>1</v>
      </c>
      <c r="V15" s="47">
        <v>2</v>
      </c>
      <c r="W15" s="47">
        <v>1</v>
      </c>
      <c r="X15" s="47">
        <v>0</v>
      </c>
      <c r="Y15" s="47">
        <v>2</v>
      </c>
      <c r="Z15" s="47">
        <v>2</v>
      </c>
      <c r="AA15" s="47">
        <v>2</v>
      </c>
      <c r="AB15" s="47">
        <v>3</v>
      </c>
      <c r="AC15" s="47">
        <v>2</v>
      </c>
      <c r="AD15" s="47">
        <v>2</v>
      </c>
      <c r="AE15" s="47">
        <v>2</v>
      </c>
      <c r="AF15" s="36">
        <f t="shared" ref="AF15" si="6">(COUNTIF(D15:AE15,1)+COUNTIF(D15:AE15,2)+COUNTIF(D15:AE15,3)+COUNTIF(D15:AE15,"NS"))/28</f>
        <v>0.9285714285714286</v>
      </c>
    </row>
    <row r="16" spans="1:59">
      <c r="A16" s="3"/>
      <c r="B16" s="23"/>
      <c r="C16" s="23"/>
      <c r="D16" s="14">
        <f t="shared" ref="D16:AE16" si="7">IF(D15=$A$90,$C$90,IF(D15=$A$91,$C$91,IF(D15=$A$92,$C$92,IF(D15=$A$93,$C$93,IF(D15="NS",100)))))</f>
        <v>33.33</v>
      </c>
      <c r="E16" s="14">
        <f t="shared" si="7"/>
        <v>0</v>
      </c>
      <c r="F16" s="14">
        <f t="shared" si="7"/>
        <v>33.33</v>
      </c>
      <c r="G16" s="14">
        <f t="shared" si="7"/>
        <v>33.33</v>
      </c>
      <c r="H16" s="14">
        <f t="shared" si="7"/>
        <v>33.33</v>
      </c>
      <c r="I16" s="14">
        <f t="shared" si="7"/>
        <v>33.33</v>
      </c>
      <c r="J16" s="14">
        <f t="shared" si="7"/>
        <v>33.33</v>
      </c>
      <c r="K16" s="14">
        <f t="shared" si="7"/>
        <v>33.33</v>
      </c>
      <c r="L16" s="14">
        <f t="shared" si="7"/>
        <v>33.33</v>
      </c>
      <c r="M16" s="14">
        <f t="shared" si="7"/>
        <v>33.33</v>
      </c>
      <c r="N16" s="14">
        <f t="shared" si="7"/>
        <v>33.33</v>
      </c>
      <c r="O16" s="14">
        <f t="shared" si="7"/>
        <v>33.33</v>
      </c>
      <c r="P16" s="14">
        <f t="shared" si="7"/>
        <v>33.33</v>
      </c>
      <c r="Q16" s="14">
        <f t="shared" si="7"/>
        <v>33.33</v>
      </c>
      <c r="R16" s="14">
        <f t="shared" si="7"/>
        <v>33.33</v>
      </c>
      <c r="S16" s="14">
        <f t="shared" si="7"/>
        <v>33.33</v>
      </c>
      <c r="T16" s="14">
        <f t="shared" si="7"/>
        <v>33.33</v>
      </c>
      <c r="U16" s="14">
        <f t="shared" si="7"/>
        <v>33.33</v>
      </c>
      <c r="V16" s="14">
        <f t="shared" si="7"/>
        <v>50</v>
      </c>
      <c r="W16" s="14">
        <f t="shared" si="7"/>
        <v>33.33</v>
      </c>
      <c r="X16" s="14">
        <f t="shared" si="7"/>
        <v>0</v>
      </c>
      <c r="Y16" s="14">
        <f t="shared" si="7"/>
        <v>50</v>
      </c>
      <c r="Z16" s="14">
        <f t="shared" si="7"/>
        <v>50</v>
      </c>
      <c r="AA16" s="14">
        <f t="shared" si="7"/>
        <v>50</v>
      </c>
      <c r="AB16" s="14">
        <f t="shared" si="7"/>
        <v>100</v>
      </c>
      <c r="AC16" s="14">
        <f t="shared" si="7"/>
        <v>50</v>
      </c>
      <c r="AD16" s="14">
        <f t="shared" si="7"/>
        <v>50</v>
      </c>
      <c r="AE16" s="14">
        <f t="shared" si="7"/>
        <v>50</v>
      </c>
      <c r="AF16" s="36">
        <f t="shared" si="5"/>
        <v>0.37497857142857144</v>
      </c>
    </row>
    <row r="17" spans="1:32" ht="72" customHeight="1">
      <c r="A17" s="15" t="str">
        <f>Instrumento!A8</f>
        <v>Q3</v>
      </c>
      <c r="B17" s="67" t="str">
        <f>Instrumento!B8</f>
        <v>Gravação de relatório – Possibilidade de gravação de relatórios em diversos formatos eletrônicos, inclusive abertos e não proprietários, tais como planilhas e texto, de modo a facilitar a análise das informações - (Exame: exportar para arquivo aberto e não proprietário relatório com nome e remuneração de servidores) - (0 = para constatação de cumprimento ausente, 1 = para constatação de cumprimento fraco; 2 = para constatação de cumprimento moderado; 3 = para constatação de cumprimento forte);</v>
      </c>
      <c r="C17" s="68"/>
      <c r="D17" s="48">
        <v>0</v>
      </c>
      <c r="E17" s="48">
        <v>0</v>
      </c>
      <c r="F17" s="48">
        <v>0</v>
      </c>
      <c r="G17" s="48">
        <v>0</v>
      </c>
      <c r="H17" s="48">
        <v>0</v>
      </c>
      <c r="I17" s="48">
        <v>0</v>
      </c>
      <c r="J17" s="48">
        <v>2</v>
      </c>
      <c r="K17" s="48">
        <v>0</v>
      </c>
      <c r="L17" s="48">
        <v>0</v>
      </c>
      <c r="M17" s="48">
        <v>1</v>
      </c>
      <c r="N17" s="48">
        <v>0</v>
      </c>
      <c r="O17" s="48">
        <v>1</v>
      </c>
      <c r="P17" s="48">
        <v>0</v>
      </c>
      <c r="Q17" s="48">
        <v>1</v>
      </c>
      <c r="R17" s="48">
        <v>1</v>
      </c>
      <c r="S17" s="48">
        <v>0</v>
      </c>
      <c r="T17" s="48">
        <v>2</v>
      </c>
      <c r="U17" s="48">
        <v>2</v>
      </c>
      <c r="V17" s="48">
        <v>3</v>
      </c>
      <c r="W17" s="48">
        <v>0</v>
      </c>
      <c r="X17" s="48">
        <v>2</v>
      </c>
      <c r="Y17" s="48">
        <v>0</v>
      </c>
      <c r="Z17" s="48">
        <v>0</v>
      </c>
      <c r="AA17" s="48">
        <v>3</v>
      </c>
      <c r="AB17" s="48">
        <v>2</v>
      </c>
      <c r="AC17" s="48">
        <v>3</v>
      </c>
      <c r="AD17" s="48">
        <v>0</v>
      </c>
      <c r="AE17" s="48">
        <v>2</v>
      </c>
      <c r="AF17" s="36">
        <f>(COUNTIF(D17:AE17,1)+COUNTIF(D17:AE17,2)+COUNTIF(D17:AE17,3)+COUNTIF(D17:AE17,"NS"))/28</f>
        <v>0.4642857142857143</v>
      </c>
    </row>
    <row r="18" spans="1:32">
      <c r="A18" s="3"/>
      <c r="B18" s="23"/>
      <c r="C18" s="23"/>
      <c r="D18" s="13">
        <f t="shared" ref="D18:AE18" si="8">IF(D17=$A$90,$C$90,IF(D17=$A$91,$C$91,IF(D17=$A$92,$C$92,IF(D17=$A$93,$C$93,IF(D17="NS",100)))))</f>
        <v>0</v>
      </c>
      <c r="E18" s="13">
        <f t="shared" si="8"/>
        <v>0</v>
      </c>
      <c r="F18" s="13">
        <f t="shared" si="8"/>
        <v>0</v>
      </c>
      <c r="G18" s="13">
        <f t="shared" si="8"/>
        <v>0</v>
      </c>
      <c r="H18" s="13">
        <f t="shared" si="8"/>
        <v>0</v>
      </c>
      <c r="I18" s="13">
        <f t="shared" si="8"/>
        <v>0</v>
      </c>
      <c r="J18" s="13">
        <f t="shared" si="8"/>
        <v>50</v>
      </c>
      <c r="K18" s="13">
        <f t="shared" si="8"/>
        <v>0</v>
      </c>
      <c r="L18" s="13">
        <f t="shared" si="8"/>
        <v>0</v>
      </c>
      <c r="M18" s="13">
        <f t="shared" si="8"/>
        <v>33.33</v>
      </c>
      <c r="N18" s="13">
        <f>IF(N17=$A$90,$C$90,IF(N17=$A$91,$C$91,IF(N17=$A$92,$C$92,IF(N17=$A$93,$C$93,IF(N17="NS",100)))))</f>
        <v>0</v>
      </c>
      <c r="O18" s="13">
        <f t="shared" si="8"/>
        <v>33.33</v>
      </c>
      <c r="P18" s="13">
        <f t="shared" si="8"/>
        <v>0</v>
      </c>
      <c r="Q18" s="13">
        <f t="shared" si="8"/>
        <v>33.33</v>
      </c>
      <c r="R18" s="13">
        <f t="shared" si="8"/>
        <v>33.33</v>
      </c>
      <c r="S18" s="13">
        <f t="shared" si="8"/>
        <v>0</v>
      </c>
      <c r="T18" s="13">
        <f t="shared" si="8"/>
        <v>50</v>
      </c>
      <c r="U18" s="13">
        <f t="shared" si="8"/>
        <v>50</v>
      </c>
      <c r="V18" s="13">
        <f t="shared" si="8"/>
        <v>100</v>
      </c>
      <c r="W18" s="13">
        <f t="shared" si="8"/>
        <v>0</v>
      </c>
      <c r="X18" s="13">
        <f t="shared" si="8"/>
        <v>50</v>
      </c>
      <c r="Y18" s="13">
        <f t="shared" si="8"/>
        <v>0</v>
      </c>
      <c r="Z18" s="13">
        <f t="shared" si="8"/>
        <v>0</v>
      </c>
      <c r="AA18" s="13">
        <f t="shared" si="8"/>
        <v>100</v>
      </c>
      <c r="AB18" s="13">
        <f t="shared" si="8"/>
        <v>50</v>
      </c>
      <c r="AC18" s="13">
        <f t="shared" si="8"/>
        <v>100</v>
      </c>
      <c r="AD18" s="13">
        <f t="shared" si="8"/>
        <v>0</v>
      </c>
      <c r="AE18" s="13">
        <f t="shared" si="8"/>
        <v>50</v>
      </c>
      <c r="AF18" s="36">
        <f t="shared" si="5"/>
        <v>0.26189999999999997</v>
      </c>
    </row>
    <row r="19" spans="1:32" ht="55.5" customHeight="1">
      <c r="A19" s="12" t="str">
        <f>Instrumento!A9</f>
        <v>Q4</v>
      </c>
      <c r="B19" s="69" t="str">
        <f>Instrumento!B9</f>
        <v>Acesso por sistemas externos – Possibilitar o acesso automatizado por sistemas externos em formatos abertos, estruturados e legíveis por máquina – (Exame: constatar existência de interface web service que disponibilize dados em formatos abertos e estruturados) - (0 = para constatação de cumprimento ausente e 3 = para constatação de cumprimento forte) equivalente a Não ou Sim;</v>
      </c>
      <c r="C19" s="70"/>
      <c r="D19" s="47">
        <v>0</v>
      </c>
      <c r="E19" s="47">
        <v>0</v>
      </c>
      <c r="F19" s="47">
        <v>0</v>
      </c>
      <c r="G19" s="47">
        <v>0</v>
      </c>
      <c r="H19" s="47">
        <v>0</v>
      </c>
      <c r="I19" s="47">
        <v>0</v>
      </c>
      <c r="J19" s="47">
        <v>0</v>
      </c>
      <c r="K19" s="47">
        <v>0</v>
      </c>
      <c r="L19" s="47">
        <v>0</v>
      </c>
      <c r="M19" s="47">
        <v>0</v>
      </c>
      <c r="N19" s="47">
        <v>0</v>
      </c>
      <c r="O19" s="47">
        <v>0</v>
      </c>
      <c r="P19" s="47">
        <v>0</v>
      </c>
      <c r="Q19" s="47">
        <v>0</v>
      </c>
      <c r="R19" s="47">
        <v>0</v>
      </c>
      <c r="S19" s="47">
        <v>0</v>
      </c>
      <c r="T19" s="47">
        <v>0</v>
      </c>
      <c r="U19" s="47">
        <v>0</v>
      </c>
      <c r="V19" s="47">
        <v>0</v>
      </c>
      <c r="W19" s="47">
        <v>0</v>
      </c>
      <c r="X19" s="47">
        <v>0</v>
      </c>
      <c r="Y19" s="47">
        <v>0</v>
      </c>
      <c r="Z19" s="47">
        <v>0</v>
      </c>
      <c r="AA19" s="47">
        <v>0</v>
      </c>
      <c r="AB19" s="47">
        <v>0</v>
      </c>
      <c r="AC19" s="47">
        <v>0</v>
      </c>
      <c r="AD19" s="47">
        <v>0</v>
      </c>
      <c r="AE19" s="47">
        <v>0</v>
      </c>
      <c r="AF19" s="36">
        <f t="shared" ref="AF19" si="9">(COUNTIF(D19:AE19,1)+COUNTIF(D19:AE19,2)+COUNTIF(D19:AE19,3)+COUNTIF(D19:AE19,"NS"))/28</f>
        <v>0</v>
      </c>
    </row>
    <row r="20" spans="1:32">
      <c r="A20" s="3"/>
      <c r="B20" s="23"/>
      <c r="C20" s="23"/>
      <c r="D20" s="14">
        <f t="shared" ref="D20:AE20" si="10">IF(D19=$A$90,$C$90,IF(D19=$A$91,$C$91,IF(D19=$A$92,$C$92,IF(D19=$A$93,$C$93,IF(D19="NS",100)))))</f>
        <v>0</v>
      </c>
      <c r="E20" s="14">
        <f t="shared" si="10"/>
        <v>0</v>
      </c>
      <c r="F20" s="14">
        <f t="shared" si="10"/>
        <v>0</v>
      </c>
      <c r="G20" s="14">
        <f t="shared" si="10"/>
        <v>0</v>
      </c>
      <c r="H20" s="14">
        <f t="shared" si="10"/>
        <v>0</v>
      </c>
      <c r="I20" s="14">
        <f t="shared" si="10"/>
        <v>0</v>
      </c>
      <c r="J20" s="14">
        <f t="shared" si="10"/>
        <v>0</v>
      </c>
      <c r="K20" s="14">
        <f t="shared" si="10"/>
        <v>0</v>
      </c>
      <c r="L20" s="14">
        <f t="shared" si="10"/>
        <v>0</v>
      </c>
      <c r="M20" s="14">
        <f t="shared" si="10"/>
        <v>0</v>
      </c>
      <c r="N20" s="14">
        <f t="shared" si="10"/>
        <v>0</v>
      </c>
      <c r="O20" s="14">
        <f t="shared" si="10"/>
        <v>0</v>
      </c>
      <c r="P20" s="14">
        <f t="shared" si="10"/>
        <v>0</v>
      </c>
      <c r="Q20" s="14">
        <f t="shared" si="10"/>
        <v>0</v>
      </c>
      <c r="R20" s="14">
        <f t="shared" si="10"/>
        <v>0</v>
      </c>
      <c r="S20" s="14">
        <f t="shared" si="10"/>
        <v>0</v>
      </c>
      <c r="T20" s="14">
        <f t="shared" si="10"/>
        <v>0</v>
      </c>
      <c r="U20" s="14">
        <f t="shared" si="10"/>
        <v>0</v>
      </c>
      <c r="V20" s="14">
        <f t="shared" si="10"/>
        <v>0</v>
      </c>
      <c r="W20" s="14">
        <f t="shared" si="10"/>
        <v>0</v>
      </c>
      <c r="X20" s="14">
        <f t="shared" si="10"/>
        <v>0</v>
      </c>
      <c r="Y20" s="14">
        <f t="shared" si="10"/>
        <v>0</v>
      </c>
      <c r="Z20" s="14">
        <f t="shared" si="10"/>
        <v>0</v>
      </c>
      <c r="AA20" s="14">
        <f t="shared" si="10"/>
        <v>0</v>
      </c>
      <c r="AB20" s="14">
        <f t="shared" si="10"/>
        <v>0</v>
      </c>
      <c r="AC20" s="14">
        <f t="shared" si="10"/>
        <v>0</v>
      </c>
      <c r="AD20" s="14">
        <f t="shared" si="10"/>
        <v>0</v>
      </c>
      <c r="AE20" s="14">
        <f t="shared" si="10"/>
        <v>0</v>
      </c>
      <c r="AF20" s="36">
        <f t="shared" si="5"/>
        <v>0</v>
      </c>
    </row>
    <row r="21" spans="1:32" ht="84" customHeight="1">
      <c r="A21" s="15" t="str">
        <f>Instrumento!A10</f>
        <v>Q5</v>
      </c>
      <c r="B21" s="67" t="str">
        <f>Instrumento!B10</f>
        <v>Divulgação do resultado de inspeções, auditorias, prestações e tomadas de contas realizadas pelos órgãos de controle interno e externo, incluindo prestações de contas relativas a exercícios anteriores - (constatação dos últimos três anos - 2017, 2018 e 2019) - (0 = para constatação de cumprimento ausente, 1 = para constatação de cumprimento fraco; 2 = para constatação de cumprimento moderado; 3 = para constatação de cumprimento forte);</v>
      </c>
      <c r="C21" s="68"/>
      <c r="D21" s="48">
        <v>2</v>
      </c>
      <c r="E21" s="48">
        <v>2</v>
      </c>
      <c r="F21" s="48">
        <v>3</v>
      </c>
      <c r="G21" s="48">
        <v>3</v>
      </c>
      <c r="H21" s="48">
        <v>2</v>
      </c>
      <c r="I21" s="48">
        <v>1</v>
      </c>
      <c r="J21" s="48">
        <v>3</v>
      </c>
      <c r="K21" s="48">
        <v>2</v>
      </c>
      <c r="L21" s="48">
        <v>2</v>
      </c>
      <c r="M21" s="48">
        <v>2</v>
      </c>
      <c r="N21" s="48">
        <v>1</v>
      </c>
      <c r="O21" s="48">
        <v>1</v>
      </c>
      <c r="P21" s="48">
        <v>2</v>
      </c>
      <c r="Q21" s="48">
        <v>3</v>
      </c>
      <c r="R21" s="48">
        <v>2</v>
      </c>
      <c r="S21" s="48">
        <v>2</v>
      </c>
      <c r="T21" s="48">
        <v>2</v>
      </c>
      <c r="U21" s="48">
        <v>1</v>
      </c>
      <c r="V21" s="48">
        <v>3</v>
      </c>
      <c r="W21" s="48">
        <v>2</v>
      </c>
      <c r="X21" s="48">
        <v>2</v>
      </c>
      <c r="Y21" s="48">
        <v>3</v>
      </c>
      <c r="Z21" s="48">
        <v>2</v>
      </c>
      <c r="AA21" s="48">
        <v>1</v>
      </c>
      <c r="AB21" s="48">
        <v>3</v>
      </c>
      <c r="AC21" s="48">
        <v>2</v>
      </c>
      <c r="AD21" s="48">
        <v>3</v>
      </c>
      <c r="AE21" s="48">
        <v>3</v>
      </c>
      <c r="AF21" s="36">
        <f t="shared" ref="AF21" si="11">(COUNTIF(D21:AE21,1)+COUNTIF(D21:AE21,2)+COUNTIF(D21:AE21,3)+COUNTIF(D21:AE21,"NS"))/28</f>
        <v>1</v>
      </c>
    </row>
    <row r="22" spans="1:32">
      <c r="A22" s="3"/>
      <c r="B22" s="23"/>
      <c r="C22" s="23"/>
      <c r="D22" s="13">
        <f t="shared" ref="D22:AE22" si="12">IF(D21=$A$90,$C$90,IF(D21=$A$91,$C$91,IF(D21=$A$92,$C$92,IF(D21=$A$93,$C$93,IF(D21="NS",100)))))</f>
        <v>50</v>
      </c>
      <c r="E22" s="13">
        <f t="shared" si="12"/>
        <v>50</v>
      </c>
      <c r="F22" s="13">
        <f t="shared" si="12"/>
        <v>100</v>
      </c>
      <c r="G22" s="13">
        <f t="shared" si="12"/>
        <v>100</v>
      </c>
      <c r="H22" s="13">
        <f t="shared" si="12"/>
        <v>50</v>
      </c>
      <c r="I22" s="13">
        <f t="shared" si="12"/>
        <v>33.33</v>
      </c>
      <c r="J22" s="13">
        <f t="shared" si="12"/>
        <v>100</v>
      </c>
      <c r="K22" s="13">
        <f t="shared" si="12"/>
        <v>50</v>
      </c>
      <c r="L22" s="13">
        <f t="shared" si="12"/>
        <v>50</v>
      </c>
      <c r="M22" s="13">
        <f t="shared" si="12"/>
        <v>50</v>
      </c>
      <c r="N22" s="13">
        <f t="shared" si="12"/>
        <v>33.33</v>
      </c>
      <c r="O22" s="13">
        <f t="shared" si="12"/>
        <v>33.33</v>
      </c>
      <c r="P22" s="13">
        <f t="shared" si="12"/>
        <v>50</v>
      </c>
      <c r="Q22" s="13">
        <f t="shared" si="12"/>
        <v>100</v>
      </c>
      <c r="R22" s="13">
        <f t="shared" si="12"/>
        <v>50</v>
      </c>
      <c r="S22" s="13">
        <f t="shared" si="12"/>
        <v>50</v>
      </c>
      <c r="T22" s="13">
        <f t="shared" si="12"/>
        <v>50</v>
      </c>
      <c r="U22" s="13">
        <f t="shared" si="12"/>
        <v>33.33</v>
      </c>
      <c r="V22" s="13">
        <f t="shared" si="12"/>
        <v>100</v>
      </c>
      <c r="W22" s="13">
        <f t="shared" si="12"/>
        <v>50</v>
      </c>
      <c r="X22" s="13">
        <f t="shared" si="12"/>
        <v>50</v>
      </c>
      <c r="Y22" s="13">
        <f t="shared" si="12"/>
        <v>100</v>
      </c>
      <c r="Z22" s="13">
        <f t="shared" si="12"/>
        <v>50</v>
      </c>
      <c r="AA22" s="13">
        <f t="shared" si="12"/>
        <v>33.33</v>
      </c>
      <c r="AB22" s="13">
        <f t="shared" si="12"/>
        <v>100</v>
      </c>
      <c r="AC22" s="13">
        <f t="shared" si="12"/>
        <v>50</v>
      </c>
      <c r="AD22" s="13">
        <f t="shared" si="12"/>
        <v>100</v>
      </c>
      <c r="AE22" s="13">
        <f t="shared" si="12"/>
        <v>100</v>
      </c>
      <c r="AF22" s="36">
        <f t="shared" si="5"/>
        <v>0.63094642857142857</v>
      </c>
    </row>
    <row r="23" spans="1:32" ht="49.5" customHeight="1">
      <c r="A23" s="12" t="str">
        <f>Instrumento!A11</f>
        <v>Q6</v>
      </c>
      <c r="B23" s="69" t="str">
        <f>Instrumento!B11</f>
        <v>Acompanhamento de programas - Divulgação de dados gerais para o acompanhamento de programas, ações, projetos e obras de órgãos e entidades - (0 = para constatação de cumprimento ausente e 3 = para constatação de cumprimento forte) equivalente a Não ou Sim;</v>
      </c>
      <c r="C23" s="70"/>
      <c r="D23" s="47">
        <v>3</v>
      </c>
      <c r="E23" s="47">
        <v>0</v>
      </c>
      <c r="F23" s="47">
        <v>3</v>
      </c>
      <c r="G23" s="47">
        <v>3</v>
      </c>
      <c r="H23" s="47">
        <v>3</v>
      </c>
      <c r="I23" s="47">
        <v>3</v>
      </c>
      <c r="J23" s="47">
        <v>3</v>
      </c>
      <c r="K23" s="47">
        <v>3</v>
      </c>
      <c r="L23" s="47">
        <v>3</v>
      </c>
      <c r="M23" s="47">
        <v>3</v>
      </c>
      <c r="N23" s="47">
        <v>3</v>
      </c>
      <c r="O23" s="47">
        <v>3</v>
      </c>
      <c r="P23" s="47">
        <v>3</v>
      </c>
      <c r="Q23" s="47">
        <v>3</v>
      </c>
      <c r="R23" s="47">
        <v>3</v>
      </c>
      <c r="S23" s="47">
        <v>3</v>
      </c>
      <c r="T23" s="47">
        <v>3</v>
      </c>
      <c r="U23" s="47">
        <v>3</v>
      </c>
      <c r="V23" s="47">
        <v>3</v>
      </c>
      <c r="W23" s="47">
        <v>3</v>
      </c>
      <c r="X23" s="47">
        <v>3</v>
      </c>
      <c r="Y23" s="47">
        <v>3</v>
      </c>
      <c r="Z23" s="47">
        <v>3</v>
      </c>
      <c r="AA23" s="47">
        <v>3</v>
      </c>
      <c r="AB23" s="47">
        <v>3</v>
      </c>
      <c r="AC23" s="47">
        <v>3</v>
      </c>
      <c r="AD23" s="47">
        <v>3</v>
      </c>
      <c r="AE23" s="47">
        <v>3</v>
      </c>
      <c r="AF23" s="36">
        <f t="shared" ref="AF23" si="13">(COUNTIF(D23:AE23,1)+COUNTIF(D23:AE23,2)+COUNTIF(D23:AE23,3)+COUNTIF(D23:AE23,"NS"))/28</f>
        <v>0.9642857142857143</v>
      </c>
    </row>
    <row r="24" spans="1:32">
      <c r="A24" s="3"/>
      <c r="B24" s="23"/>
      <c r="C24" s="23"/>
      <c r="D24" s="14">
        <f t="shared" ref="D24:AE24" si="14">IF(D23=$A$90,$C$90,IF(D23=$A$91,$C$91,IF(D23=$A$92,$C$92,IF(D23=$A$93,$C$93,IF(D23="NS",100)))))</f>
        <v>100</v>
      </c>
      <c r="E24" s="14">
        <f t="shared" si="14"/>
        <v>0</v>
      </c>
      <c r="F24" s="14">
        <f t="shared" si="14"/>
        <v>100</v>
      </c>
      <c r="G24" s="14">
        <f t="shared" si="14"/>
        <v>100</v>
      </c>
      <c r="H24" s="14">
        <f t="shared" si="14"/>
        <v>100</v>
      </c>
      <c r="I24" s="14">
        <f t="shared" si="14"/>
        <v>100</v>
      </c>
      <c r="J24" s="14">
        <f t="shared" si="14"/>
        <v>100</v>
      </c>
      <c r="K24" s="14">
        <f t="shared" si="14"/>
        <v>100</v>
      </c>
      <c r="L24" s="14">
        <f t="shared" si="14"/>
        <v>100</v>
      </c>
      <c r="M24" s="14">
        <f t="shared" si="14"/>
        <v>100</v>
      </c>
      <c r="N24" s="14">
        <f t="shared" si="14"/>
        <v>100</v>
      </c>
      <c r="O24" s="14">
        <f t="shared" si="14"/>
        <v>100</v>
      </c>
      <c r="P24" s="14">
        <f t="shared" si="14"/>
        <v>100</v>
      </c>
      <c r="Q24" s="14">
        <f t="shared" si="14"/>
        <v>100</v>
      </c>
      <c r="R24" s="14">
        <f t="shared" si="14"/>
        <v>100</v>
      </c>
      <c r="S24" s="14">
        <f t="shared" si="14"/>
        <v>100</v>
      </c>
      <c r="T24" s="14">
        <f t="shared" si="14"/>
        <v>100</v>
      </c>
      <c r="U24" s="14">
        <f t="shared" si="14"/>
        <v>100</v>
      </c>
      <c r="V24" s="14">
        <f t="shared" si="14"/>
        <v>100</v>
      </c>
      <c r="W24" s="14">
        <f t="shared" si="14"/>
        <v>100</v>
      </c>
      <c r="X24" s="14">
        <f t="shared" si="14"/>
        <v>100</v>
      </c>
      <c r="Y24" s="14">
        <f t="shared" si="14"/>
        <v>100</v>
      </c>
      <c r="Z24" s="14">
        <f t="shared" si="14"/>
        <v>100</v>
      </c>
      <c r="AA24" s="14">
        <f t="shared" si="14"/>
        <v>100</v>
      </c>
      <c r="AB24" s="14">
        <f t="shared" si="14"/>
        <v>100</v>
      </c>
      <c r="AC24" s="14">
        <f t="shared" si="14"/>
        <v>100</v>
      </c>
      <c r="AD24" s="14">
        <f t="shared" si="14"/>
        <v>100</v>
      </c>
      <c r="AE24" s="14">
        <f t="shared" si="14"/>
        <v>100</v>
      </c>
      <c r="AF24" s="36">
        <f t="shared" si="5"/>
        <v>0.9642857142857143</v>
      </c>
    </row>
    <row r="25" spans="1:32" ht="59.25" customHeight="1">
      <c r="A25" s="15" t="str">
        <f>Instrumento!A12</f>
        <v>Q7</v>
      </c>
      <c r="B25" s="67" t="str">
        <f>Instrumento!B12</f>
        <v>Seção “Fale Conosco” – Indicar local e instruções que permitam ao interessado comunicar-se, por via eletrônica ou telefônica, com o órgão ou entidade detentora do sítio - (0 = para constatação de cumprimento ausente, 1 = para constatação de cumprimento fraco; 2 = para constatação de cumprimento moderado; 3 = para constatação de cumprimento forte);</v>
      </c>
      <c r="C25" s="68"/>
      <c r="D25" s="48">
        <v>2</v>
      </c>
      <c r="E25" s="48">
        <v>2</v>
      </c>
      <c r="F25" s="48">
        <v>2</v>
      </c>
      <c r="G25" s="48">
        <v>2</v>
      </c>
      <c r="H25" s="48">
        <v>2</v>
      </c>
      <c r="I25" s="48">
        <v>2</v>
      </c>
      <c r="J25" s="48">
        <v>2</v>
      </c>
      <c r="K25" s="48">
        <v>2</v>
      </c>
      <c r="L25" s="48">
        <v>2</v>
      </c>
      <c r="M25" s="48">
        <v>2</v>
      </c>
      <c r="N25" s="48">
        <v>2</v>
      </c>
      <c r="O25" s="48">
        <v>2</v>
      </c>
      <c r="P25" s="48">
        <v>2</v>
      </c>
      <c r="Q25" s="48">
        <v>2</v>
      </c>
      <c r="R25" s="48">
        <v>2</v>
      </c>
      <c r="S25" s="48">
        <v>2</v>
      </c>
      <c r="T25" s="48">
        <v>2</v>
      </c>
      <c r="U25" s="48">
        <v>2</v>
      </c>
      <c r="V25" s="48">
        <v>2</v>
      </c>
      <c r="W25" s="48">
        <v>2</v>
      </c>
      <c r="X25" s="48">
        <v>2</v>
      </c>
      <c r="Y25" s="48">
        <v>2</v>
      </c>
      <c r="Z25" s="48">
        <v>2</v>
      </c>
      <c r="AA25" s="48">
        <v>2</v>
      </c>
      <c r="AB25" s="48">
        <v>2</v>
      </c>
      <c r="AC25" s="48">
        <v>2</v>
      </c>
      <c r="AD25" s="48">
        <v>2</v>
      </c>
      <c r="AE25" s="48">
        <v>2</v>
      </c>
      <c r="AF25" s="36">
        <f t="shared" ref="AF25" si="15">(COUNTIF(D25:AE25,1)+COUNTIF(D25:AE25,2)+COUNTIF(D25:AE25,3)+COUNTIF(D25:AE25,"NS"))/28</f>
        <v>1</v>
      </c>
    </row>
    <row r="26" spans="1:32">
      <c r="A26" s="3"/>
      <c r="B26" s="23"/>
      <c r="C26" s="23"/>
      <c r="D26" s="13">
        <f t="shared" ref="D26:AE26" si="16">IF(D25=$A$90,$C$90,IF(D25=$A$91,$C$91,IF(D25=$A$92,$C$92,IF(D25=$A$93,$C$93,IF(D25="NS",100)))))</f>
        <v>50</v>
      </c>
      <c r="E26" s="13">
        <f t="shared" si="16"/>
        <v>50</v>
      </c>
      <c r="F26" s="13">
        <f t="shared" si="16"/>
        <v>50</v>
      </c>
      <c r="G26" s="13">
        <f t="shared" si="16"/>
        <v>50</v>
      </c>
      <c r="H26" s="13">
        <f t="shared" si="16"/>
        <v>50</v>
      </c>
      <c r="I26" s="13">
        <f t="shared" si="16"/>
        <v>50</v>
      </c>
      <c r="J26" s="13">
        <f t="shared" si="16"/>
        <v>50</v>
      </c>
      <c r="K26" s="13">
        <f t="shared" si="16"/>
        <v>50</v>
      </c>
      <c r="L26" s="13">
        <f t="shared" si="16"/>
        <v>50</v>
      </c>
      <c r="M26" s="13">
        <f t="shared" si="16"/>
        <v>50</v>
      </c>
      <c r="N26" s="13">
        <f t="shared" si="16"/>
        <v>50</v>
      </c>
      <c r="O26" s="13">
        <f t="shared" si="16"/>
        <v>50</v>
      </c>
      <c r="P26" s="13">
        <f t="shared" si="16"/>
        <v>50</v>
      </c>
      <c r="Q26" s="13">
        <f t="shared" si="16"/>
        <v>50</v>
      </c>
      <c r="R26" s="13">
        <f t="shared" si="16"/>
        <v>50</v>
      </c>
      <c r="S26" s="13">
        <f t="shared" si="16"/>
        <v>50</v>
      </c>
      <c r="T26" s="13">
        <f t="shared" si="16"/>
        <v>50</v>
      </c>
      <c r="U26" s="13">
        <f t="shared" si="16"/>
        <v>50</v>
      </c>
      <c r="V26" s="13">
        <f t="shared" si="16"/>
        <v>50</v>
      </c>
      <c r="W26" s="13">
        <f t="shared" si="16"/>
        <v>50</v>
      </c>
      <c r="X26" s="13">
        <f t="shared" si="16"/>
        <v>50</v>
      </c>
      <c r="Y26" s="13">
        <f t="shared" si="16"/>
        <v>50</v>
      </c>
      <c r="Z26" s="13">
        <f t="shared" si="16"/>
        <v>50</v>
      </c>
      <c r="AA26" s="13">
        <f t="shared" si="16"/>
        <v>50</v>
      </c>
      <c r="AB26" s="13">
        <f t="shared" si="16"/>
        <v>50</v>
      </c>
      <c r="AC26" s="13">
        <f t="shared" si="16"/>
        <v>50</v>
      </c>
      <c r="AD26" s="13">
        <f t="shared" si="16"/>
        <v>50</v>
      </c>
      <c r="AE26" s="13">
        <f t="shared" si="16"/>
        <v>50</v>
      </c>
      <c r="AF26" s="36">
        <f t="shared" si="5"/>
        <v>0.5</v>
      </c>
    </row>
    <row r="27" spans="1:32" ht="100.5" customHeight="1">
      <c r="A27" s="12" t="str">
        <f>Instrumento!A13</f>
        <v>Q8</v>
      </c>
      <c r="B27" s="63" t="str">
        <f>Instrumento!B13</f>
        <v>Acessibilidade de conteúdo para pessoas com deficiência – Adotar medidas necessárias para garantir a acessibilidade de conteúdo para pessoas com deficiência - (Possibilidade de avaliação através de: https://asesweb.governoeletronico.gov.br/ da página inicial oficial e de acesso à informação) - (0 = para constatação de cumprimento ausente, 1 = para constatação de cumprimento fraco; 2 = para constatação de cumprimento moderado; 3 = para constatação de cumprimento forte);</v>
      </c>
      <c r="C27" s="64"/>
      <c r="D27" s="47">
        <v>3</v>
      </c>
      <c r="E27" s="47">
        <v>3</v>
      </c>
      <c r="F27" s="47">
        <v>3</v>
      </c>
      <c r="G27" s="47">
        <v>3</v>
      </c>
      <c r="H27" s="47">
        <v>3</v>
      </c>
      <c r="I27" s="47">
        <v>3</v>
      </c>
      <c r="J27" s="47">
        <v>3</v>
      </c>
      <c r="K27" s="47">
        <v>3</v>
      </c>
      <c r="L27" s="47">
        <v>3</v>
      </c>
      <c r="M27" s="47">
        <v>3</v>
      </c>
      <c r="N27" s="47">
        <v>3</v>
      </c>
      <c r="O27" s="47">
        <v>2</v>
      </c>
      <c r="P27" s="47">
        <v>3</v>
      </c>
      <c r="Q27" s="47">
        <v>3</v>
      </c>
      <c r="R27" s="47">
        <v>3</v>
      </c>
      <c r="S27" s="47">
        <v>3</v>
      </c>
      <c r="T27" s="47">
        <v>3</v>
      </c>
      <c r="U27" s="47">
        <v>3</v>
      </c>
      <c r="V27" s="47">
        <v>3</v>
      </c>
      <c r="W27" s="47">
        <v>3</v>
      </c>
      <c r="X27" s="47">
        <v>3</v>
      </c>
      <c r="Y27" s="47">
        <v>3</v>
      </c>
      <c r="Z27" s="47">
        <v>3</v>
      </c>
      <c r="AA27" s="47">
        <v>3</v>
      </c>
      <c r="AB27" s="47">
        <v>3</v>
      </c>
      <c r="AC27" s="47">
        <v>3</v>
      </c>
      <c r="AD27" s="47">
        <v>2</v>
      </c>
      <c r="AE27" s="47">
        <v>3</v>
      </c>
      <c r="AF27" s="36">
        <f>(COUNTIF(D27:AE27,3)+COUNTIF(D27:AE27,"NS"))/28</f>
        <v>0.9285714285714286</v>
      </c>
    </row>
    <row r="28" spans="1:32">
      <c r="A28" s="3"/>
      <c r="B28" s="23"/>
      <c r="C28" s="23"/>
      <c r="D28" s="14">
        <f t="shared" ref="D28:AE28" si="17">IF(D27=$A$90,$C$90,IF(D27=$A$91,$C$91,IF(D27=$A$92,$C$92,IF(D27=$A$93,$C$93,IF(D27="NS",100)))))</f>
        <v>100</v>
      </c>
      <c r="E28" s="14">
        <f t="shared" si="17"/>
        <v>100</v>
      </c>
      <c r="F28" s="14">
        <f t="shared" si="17"/>
        <v>100</v>
      </c>
      <c r="G28" s="14">
        <f t="shared" si="17"/>
        <v>100</v>
      </c>
      <c r="H28" s="14">
        <f t="shared" si="17"/>
        <v>100</v>
      </c>
      <c r="I28" s="14">
        <f t="shared" si="17"/>
        <v>100</v>
      </c>
      <c r="J28" s="14">
        <f t="shared" si="17"/>
        <v>100</v>
      </c>
      <c r="K28" s="14">
        <f t="shared" si="17"/>
        <v>100</v>
      </c>
      <c r="L28" s="14">
        <f t="shared" si="17"/>
        <v>100</v>
      </c>
      <c r="M28" s="14">
        <f t="shared" si="17"/>
        <v>100</v>
      </c>
      <c r="N28" s="14">
        <f t="shared" si="17"/>
        <v>100</v>
      </c>
      <c r="O28" s="14">
        <f t="shared" si="17"/>
        <v>50</v>
      </c>
      <c r="P28" s="14">
        <f t="shared" si="17"/>
        <v>100</v>
      </c>
      <c r="Q28" s="14">
        <f t="shared" si="17"/>
        <v>100</v>
      </c>
      <c r="R28" s="14">
        <f t="shared" si="17"/>
        <v>100</v>
      </c>
      <c r="S28" s="14">
        <f t="shared" si="17"/>
        <v>100</v>
      </c>
      <c r="T28" s="14">
        <f t="shared" si="17"/>
        <v>100</v>
      </c>
      <c r="U28" s="14">
        <f t="shared" si="17"/>
        <v>100</v>
      </c>
      <c r="V28" s="14">
        <f t="shared" si="17"/>
        <v>100</v>
      </c>
      <c r="W28" s="14">
        <f t="shared" si="17"/>
        <v>100</v>
      </c>
      <c r="X28" s="14">
        <f t="shared" si="17"/>
        <v>100</v>
      </c>
      <c r="Y28" s="14">
        <f t="shared" si="17"/>
        <v>100</v>
      </c>
      <c r="Z28" s="14">
        <f t="shared" si="17"/>
        <v>100</v>
      </c>
      <c r="AA28" s="14">
        <f t="shared" si="17"/>
        <v>100</v>
      </c>
      <c r="AB28" s="14">
        <f t="shared" si="17"/>
        <v>100</v>
      </c>
      <c r="AC28" s="14">
        <f t="shared" si="17"/>
        <v>100</v>
      </c>
      <c r="AD28" s="14">
        <f t="shared" si="17"/>
        <v>50</v>
      </c>
      <c r="AE28" s="14">
        <f t="shared" si="17"/>
        <v>100</v>
      </c>
      <c r="AF28" s="36">
        <f t="shared" si="5"/>
        <v>0.9642857142857143</v>
      </c>
    </row>
    <row r="29" spans="1:32" ht="46.5" customHeight="1">
      <c r="A29" s="15" t="str">
        <f>Instrumento!A14</f>
        <v>Q9</v>
      </c>
      <c r="B29" s="67" t="str">
        <f>Instrumento!B14</f>
        <v>Remuneração - Divulgação de remuneração individualizada por nome do agente público - (0 = para constatação de cumprimento ausente e 3 = para constatação de cumprimento forte) equivalente a Não ou Sim;</v>
      </c>
      <c r="C29" s="68"/>
      <c r="D29" s="48">
        <v>3</v>
      </c>
      <c r="E29" s="48">
        <v>3</v>
      </c>
      <c r="F29" s="48">
        <v>3</v>
      </c>
      <c r="G29" s="48">
        <v>3</v>
      </c>
      <c r="H29" s="48">
        <v>3</v>
      </c>
      <c r="I29" s="48">
        <v>3</v>
      </c>
      <c r="J29" s="48">
        <v>3</v>
      </c>
      <c r="K29" s="48">
        <v>3</v>
      </c>
      <c r="L29" s="48">
        <v>3</v>
      </c>
      <c r="M29" s="48">
        <v>3</v>
      </c>
      <c r="N29" s="48">
        <v>3</v>
      </c>
      <c r="O29" s="48">
        <v>3</v>
      </c>
      <c r="P29" s="48">
        <v>3</v>
      </c>
      <c r="Q29" s="48">
        <v>3</v>
      </c>
      <c r="R29" s="48">
        <v>3</v>
      </c>
      <c r="S29" s="48">
        <v>3</v>
      </c>
      <c r="T29" s="48">
        <v>3</v>
      </c>
      <c r="U29" s="48">
        <v>3</v>
      </c>
      <c r="V29" s="48">
        <v>3</v>
      </c>
      <c r="W29" s="48">
        <v>3</v>
      </c>
      <c r="X29" s="48">
        <v>3</v>
      </c>
      <c r="Y29" s="48">
        <v>3</v>
      </c>
      <c r="Z29" s="48">
        <v>3</v>
      </c>
      <c r="AA29" s="48">
        <v>3</v>
      </c>
      <c r="AB29" s="48">
        <v>3</v>
      </c>
      <c r="AC29" s="48">
        <v>3</v>
      </c>
      <c r="AD29" s="48">
        <v>3</v>
      </c>
      <c r="AE29" s="48">
        <v>3</v>
      </c>
      <c r="AF29" s="36">
        <f t="shared" ref="AF29" si="18">(COUNTIF(D29:AE29,1)+COUNTIF(D29:AE29,2)+COUNTIF(D29:AE29,3)+COUNTIF(D29:AE29,"NS"))/28</f>
        <v>1</v>
      </c>
    </row>
    <row r="30" spans="1:32">
      <c r="A30" s="3"/>
      <c r="B30" s="23"/>
      <c r="C30" s="23"/>
      <c r="D30" s="13">
        <f t="shared" ref="D30:AE30" si="19">IF(D29=$A$90,$C$90,IF(D29=$A$91,$C$91,IF(D29=$A$92,$C$92,IF(D29=$A$93,$C$93,IF(D29="NS",100)))))</f>
        <v>100</v>
      </c>
      <c r="E30" s="13">
        <f t="shared" si="19"/>
        <v>100</v>
      </c>
      <c r="F30" s="13">
        <f t="shared" si="19"/>
        <v>100</v>
      </c>
      <c r="G30" s="13">
        <f t="shared" si="19"/>
        <v>100</v>
      </c>
      <c r="H30" s="13">
        <f t="shared" si="19"/>
        <v>100</v>
      </c>
      <c r="I30" s="13">
        <f t="shared" si="19"/>
        <v>100</v>
      </c>
      <c r="J30" s="13">
        <f t="shared" si="19"/>
        <v>100</v>
      </c>
      <c r="K30" s="13">
        <f t="shared" si="19"/>
        <v>100</v>
      </c>
      <c r="L30" s="13">
        <f t="shared" si="19"/>
        <v>100</v>
      </c>
      <c r="M30" s="13">
        <f t="shared" si="19"/>
        <v>100</v>
      </c>
      <c r="N30" s="13">
        <f t="shared" si="19"/>
        <v>100</v>
      </c>
      <c r="O30" s="13">
        <f t="shared" si="19"/>
        <v>100</v>
      </c>
      <c r="P30" s="13">
        <f t="shared" si="19"/>
        <v>100</v>
      </c>
      <c r="Q30" s="13">
        <f t="shared" si="19"/>
        <v>100</v>
      </c>
      <c r="R30" s="13">
        <f t="shared" si="19"/>
        <v>100</v>
      </c>
      <c r="S30" s="13">
        <f t="shared" si="19"/>
        <v>100</v>
      </c>
      <c r="T30" s="13">
        <f t="shared" si="19"/>
        <v>100</v>
      </c>
      <c r="U30" s="13">
        <f t="shared" si="19"/>
        <v>100</v>
      </c>
      <c r="V30" s="13">
        <f t="shared" si="19"/>
        <v>100</v>
      </c>
      <c r="W30" s="13">
        <f t="shared" si="19"/>
        <v>100</v>
      </c>
      <c r="X30" s="13">
        <f t="shared" si="19"/>
        <v>100</v>
      </c>
      <c r="Y30" s="13">
        <f t="shared" si="19"/>
        <v>100</v>
      </c>
      <c r="Z30" s="13">
        <f t="shared" si="19"/>
        <v>100</v>
      </c>
      <c r="AA30" s="13">
        <f t="shared" si="19"/>
        <v>100</v>
      </c>
      <c r="AB30" s="13">
        <f t="shared" si="19"/>
        <v>100</v>
      </c>
      <c r="AC30" s="13">
        <f t="shared" si="19"/>
        <v>100</v>
      </c>
      <c r="AD30" s="13">
        <f t="shared" si="19"/>
        <v>100</v>
      </c>
      <c r="AE30" s="13">
        <f t="shared" si="19"/>
        <v>100</v>
      </c>
      <c r="AF30" s="36">
        <f t="shared" si="5"/>
        <v>1</v>
      </c>
    </row>
    <row r="31" spans="1:32" ht="97.5" customHeight="1">
      <c r="A31" s="12" t="str">
        <f>Instrumento!A15</f>
        <v>Q10</v>
      </c>
      <c r="B31" s="63" t="str">
        <f>Instrumento!B15</f>
        <v>Banner de Acesso à Informação – Disponibilização, em seus sítios na Internet, de banner na página inicial, contendo seção específica para a divulgação, independente de requerimento, de informações de interesse coletivo ou geral produzidas ou custodiadas - (0 = para constatação de cumprimento ausente, 1 = para constatação de cumprimento fraco – quando possuir seção com link indisponível; 2 = para constatação de cumprimento moderado – quando possuir seção com link disponível; 3 = para constatação de cumprimento forte – quando de fato possuir o banner com link redirecionando para página disponível);</v>
      </c>
      <c r="C31" s="64"/>
      <c r="D31" s="47">
        <v>3</v>
      </c>
      <c r="E31" s="47">
        <v>2</v>
      </c>
      <c r="F31" s="47">
        <v>2</v>
      </c>
      <c r="G31" s="47">
        <v>3</v>
      </c>
      <c r="H31" s="47">
        <v>3</v>
      </c>
      <c r="I31" s="47">
        <v>3</v>
      </c>
      <c r="J31" s="47">
        <v>3</v>
      </c>
      <c r="K31" s="47">
        <v>3</v>
      </c>
      <c r="L31" s="47">
        <v>3</v>
      </c>
      <c r="M31" s="47">
        <v>3</v>
      </c>
      <c r="N31" s="47">
        <v>3</v>
      </c>
      <c r="O31" s="47">
        <v>3</v>
      </c>
      <c r="P31" s="47">
        <v>3</v>
      </c>
      <c r="Q31" s="47">
        <v>3</v>
      </c>
      <c r="R31" s="47">
        <v>3</v>
      </c>
      <c r="S31" s="47">
        <v>3</v>
      </c>
      <c r="T31" s="47">
        <v>3</v>
      </c>
      <c r="U31" s="47">
        <v>3</v>
      </c>
      <c r="V31" s="47">
        <v>3</v>
      </c>
      <c r="W31" s="47">
        <v>3</v>
      </c>
      <c r="X31" s="47">
        <v>3</v>
      </c>
      <c r="Y31" s="47">
        <v>3</v>
      </c>
      <c r="Z31" s="47">
        <v>3</v>
      </c>
      <c r="AA31" s="47">
        <v>3</v>
      </c>
      <c r="AB31" s="47">
        <v>3</v>
      </c>
      <c r="AC31" s="47">
        <v>3</v>
      </c>
      <c r="AD31" s="47">
        <v>3</v>
      </c>
      <c r="AE31" s="47">
        <v>0</v>
      </c>
      <c r="AF31" s="36">
        <f t="shared" ref="AF31" si="20">(COUNTIF(D31:AE31,1)+COUNTIF(D31:AE31,2)+COUNTIF(D31:AE31,3)+COUNTIF(D31:AE31,"NS"))/28</f>
        <v>0.9642857142857143</v>
      </c>
    </row>
    <row r="32" spans="1:32">
      <c r="A32" s="3"/>
      <c r="B32" s="23"/>
      <c r="C32" s="23"/>
      <c r="D32" s="14">
        <f t="shared" ref="D32:AE32" si="21">IF(D31=$A$90,$C$90,IF(D31=$A$91,$C$91,IF(D31=$A$92,$C$92,IF(D31=$A$93,$C$93,IF(D31="NS",100)))))</f>
        <v>100</v>
      </c>
      <c r="E32" s="14">
        <f t="shared" si="21"/>
        <v>50</v>
      </c>
      <c r="F32" s="14">
        <f t="shared" si="21"/>
        <v>50</v>
      </c>
      <c r="G32" s="14">
        <f t="shared" si="21"/>
        <v>100</v>
      </c>
      <c r="H32" s="14">
        <f t="shared" si="21"/>
        <v>100</v>
      </c>
      <c r="I32" s="14">
        <f t="shared" si="21"/>
        <v>100</v>
      </c>
      <c r="J32" s="14">
        <f t="shared" si="21"/>
        <v>100</v>
      </c>
      <c r="K32" s="14">
        <f t="shared" si="21"/>
        <v>100</v>
      </c>
      <c r="L32" s="14">
        <f t="shared" si="21"/>
        <v>100</v>
      </c>
      <c r="M32" s="14">
        <f t="shared" si="21"/>
        <v>100</v>
      </c>
      <c r="N32" s="14">
        <f t="shared" si="21"/>
        <v>100</v>
      </c>
      <c r="O32" s="14">
        <f t="shared" si="21"/>
        <v>100</v>
      </c>
      <c r="P32" s="14">
        <f t="shared" si="21"/>
        <v>100</v>
      </c>
      <c r="Q32" s="14">
        <f t="shared" si="21"/>
        <v>100</v>
      </c>
      <c r="R32" s="14">
        <f t="shared" si="21"/>
        <v>100</v>
      </c>
      <c r="S32" s="14">
        <f t="shared" si="21"/>
        <v>100</v>
      </c>
      <c r="T32" s="14">
        <f t="shared" si="21"/>
        <v>100</v>
      </c>
      <c r="U32" s="14">
        <f t="shared" si="21"/>
        <v>100</v>
      </c>
      <c r="V32" s="14">
        <f t="shared" si="21"/>
        <v>100</v>
      </c>
      <c r="W32" s="14">
        <f t="shared" si="21"/>
        <v>100</v>
      </c>
      <c r="X32" s="14">
        <f t="shared" si="21"/>
        <v>100</v>
      </c>
      <c r="Y32" s="14">
        <f t="shared" si="21"/>
        <v>100</v>
      </c>
      <c r="Z32" s="14">
        <f t="shared" si="21"/>
        <v>100</v>
      </c>
      <c r="AA32" s="14">
        <f t="shared" si="21"/>
        <v>100</v>
      </c>
      <c r="AB32" s="14">
        <f t="shared" si="21"/>
        <v>100</v>
      </c>
      <c r="AC32" s="14">
        <f t="shared" si="21"/>
        <v>100</v>
      </c>
      <c r="AD32" s="14">
        <f t="shared" si="21"/>
        <v>100</v>
      </c>
      <c r="AE32" s="14">
        <f t="shared" si="21"/>
        <v>0</v>
      </c>
      <c r="AF32" s="36">
        <f t="shared" si="5"/>
        <v>0.9285714285714286</v>
      </c>
    </row>
    <row r="33" spans="1:32" ht="42.75" customHeight="1">
      <c r="A33" s="15" t="str">
        <f>Instrumento!A16</f>
        <v>Q11</v>
      </c>
      <c r="B33" s="80" t="str">
        <f>Instrumento!B16</f>
        <v>Divulgação em detalhes, os formatos utilizados para estruturação da informação - (0 = para constatação de cumprimento ausente, 1 = para constatação de cumprimento fraco; 2 = para constatação de cumprimento moderado; 3 = para constatação de cumprimento forte);</v>
      </c>
      <c r="C33" s="81"/>
      <c r="D33" s="48">
        <v>3</v>
      </c>
      <c r="E33" s="48">
        <v>3</v>
      </c>
      <c r="F33" s="48">
        <v>3</v>
      </c>
      <c r="G33" s="48">
        <v>3</v>
      </c>
      <c r="H33" s="48">
        <v>3</v>
      </c>
      <c r="I33" s="48">
        <v>3</v>
      </c>
      <c r="J33" s="48">
        <v>3</v>
      </c>
      <c r="K33" s="48">
        <v>3</v>
      </c>
      <c r="L33" s="48">
        <v>3</v>
      </c>
      <c r="M33" s="48">
        <v>3</v>
      </c>
      <c r="N33" s="48">
        <v>3</v>
      </c>
      <c r="O33" s="48">
        <v>3</v>
      </c>
      <c r="P33" s="48">
        <v>3</v>
      </c>
      <c r="Q33" s="48">
        <v>3</v>
      </c>
      <c r="R33" s="48">
        <v>3</v>
      </c>
      <c r="S33" s="48">
        <v>3</v>
      </c>
      <c r="T33" s="48">
        <v>3</v>
      </c>
      <c r="U33" s="48">
        <v>3</v>
      </c>
      <c r="V33" s="48">
        <v>3</v>
      </c>
      <c r="W33" s="48">
        <v>3</v>
      </c>
      <c r="X33" s="48">
        <v>3</v>
      </c>
      <c r="Y33" s="48">
        <v>3</v>
      </c>
      <c r="Z33" s="48">
        <v>3</v>
      </c>
      <c r="AA33" s="48">
        <v>3</v>
      </c>
      <c r="AB33" s="48">
        <v>3</v>
      </c>
      <c r="AC33" s="48">
        <v>3</v>
      </c>
      <c r="AD33" s="48">
        <v>3</v>
      </c>
      <c r="AE33" s="48">
        <v>3</v>
      </c>
      <c r="AF33" s="36">
        <f t="shared" ref="AF33" si="22">(COUNTIF(D33:AE33,1)+COUNTIF(D33:AE33,2)+COUNTIF(D33:AE33,3)+COUNTIF(D33:AE33,"NS"))/28</f>
        <v>1</v>
      </c>
    </row>
    <row r="34" spans="1:32">
      <c r="A34" s="3"/>
      <c r="B34" s="23"/>
      <c r="C34" s="23"/>
      <c r="D34" s="13">
        <f t="shared" ref="D34:AE34" si="23">IF(D33=$A$90,$C$90,IF(D33=$A$91,$C$91,IF(D33=$A$92,$C$92,IF(D33=$A$93,$C$93,IF(D33="NS",100)))))</f>
        <v>100</v>
      </c>
      <c r="E34" s="13">
        <f t="shared" si="23"/>
        <v>100</v>
      </c>
      <c r="F34" s="13">
        <f t="shared" si="23"/>
        <v>100</v>
      </c>
      <c r="G34" s="13">
        <f t="shared" si="23"/>
        <v>100</v>
      </c>
      <c r="H34" s="13">
        <f t="shared" si="23"/>
        <v>100</v>
      </c>
      <c r="I34" s="13">
        <f t="shared" si="23"/>
        <v>100</v>
      </c>
      <c r="J34" s="13">
        <f t="shared" si="23"/>
        <v>100</v>
      </c>
      <c r="K34" s="13">
        <f t="shared" si="23"/>
        <v>100</v>
      </c>
      <c r="L34" s="13">
        <f t="shared" si="23"/>
        <v>100</v>
      </c>
      <c r="M34" s="13">
        <f t="shared" si="23"/>
        <v>100</v>
      </c>
      <c r="N34" s="13">
        <f t="shared" si="23"/>
        <v>100</v>
      </c>
      <c r="O34" s="13">
        <f t="shared" si="23"/>
        <v>100</v>
      </c>
      <c r="P34" s="13">
        <f t="shared" si="23"/>
        <v>100</v>
      </c>
      <c r="Q34" s="13">
        <f t="shared" si="23"/>
        <v>100</v>
      </c>
      <c r="R34" s="13">
        <f t="shared" si="23"/>
        <v>100</v>
      </c>
      <c r="S34" s="13">
        <f t="shared" si="23"/>
        <v>100</v>
      </c>
      <c r="T34" s="13">
        <f t="shared" si="23"/>
        <v>100</v>
      </c>
      <c r="U34" s="13">
        <f t="shared" si="23"/>
        <v>100</v>
      </c>
      <c r="V34" s="13">
        <f t="shared" si="23"/>
        <v>100</v>
      </c>
      <c r="W34" s="13">
        <f t="shared" si="23"/>
        <v>100</v>
      </c>
      <c r="X34" s="13">
        <f t="shared" si="23"/>
        <v>100</v>
      </c>
      <c r="Y34" s="13">
        <f t="shared" si="23"/>
        <v>100</v>
      </c>
      <c r="Z34" s="13">
        <f t="shared" si="23"/>
        <v>100</v>
      </c>
      <c r="AA34" s="13">
        <f t="shared" si="23"/>
        <v>100</v>
      </c>
      <c r="AB34" s="13">
        <f t="shared" si="23"/>
        <v>100</v>
      </c>
      <c r="AC34" s="13">
        <f t="shared" si="23"/>
        <v>100</v>
      </c>
      <c r="AD34" s="13">
        <f t="shared" si="23"/>
        <v>100</v>
      </c>
      <c r="AE34" s="13">
        <f t="shared" si="23"/>
        <v>100</v>
      </c>
      <c r="AF34" s="36">
        <f t="shared" si="5"/>
        <v>1</v>
      </c>
    </row>
    <row r="35" spans="1:32" ht="39.75" customHeight="1">
      <c r="A35" s="12" t="str">
        <f>Instrumento!A17</f>
        <v>Q12</v>
      </c>
      <c r="B35" s="63" t="str">
        <f>Instrumento!B17</f>
        <v>Divulgação da execução orçamentária e financeira detalhada dos últimos três anos - 2017, 2018 e 2019 - (0 = para constatação de cumprimento ausente, 1 = para constatação de cumprimento fraco; 2 = para constatação de cumprimento moderado; 3 = para constatação de cumprimento forte);</v>
      </c>
      <c r="C35" s="64"/>
      <c r="D35" s="47">
        <v>3</v>
      </c>
      <c r="E35" s="47">
        <v>3</v>
      </c>
      <c r="F35" s="47">
        <v>3</v>
      </c>
      <c r="G35" s="47">
        <v>3</v>
      </c>
      <c r="H35" s="47">
        <v>3</v>
      </c>
      <c r="I35" s="47">
        <v>3</v>
      </c>
      <c r="J35" s="47">
        <v>3</v>
      </c>
      <c r="K35" s="47">
        <v>3</v>
      </c>
      <c r="L35" s="47">
        <v>3</v>
      </c>
      <c r="M35" s="47">
        <v>3</v>
      </c>
      <c r="N35" s="47">
        <v>3</v>
      </c>
      <c r="O35" s="47">
        <v>3</v>
      </c>
      <c r="P35" s="47">
        <v>3</v>
      </c>
      <c r="Q35" s="47">
        <v>3</v>
      </c>
      <c r="R35" s="47">
        <v>1</v>
      </c>
      <c r="S35" s="47">
        <v>3</v>
      </c>
      <c r="T35" s="47">
        <v>3</v>
      </c>
      <c r="U35" s="47">
        <v>3</v>
      </c>
      <c r="V35" s="47">
        <v>3</v>
      </c>
      <c r="W35" s="47">
        <v>3</v>
      </c>
      <c r="X35" s="47">
        <v>3</v>
      </c>
      <c r="Y35" s="47">
        <v>3</v>
      </c>
      <c r="Z35" s="47">
        <v>3</v>
      </c>
      <c r="AA35" s="47">
        <v>3</v>
      </c>
      <c r="AB35" s="47">
        <v>3</v>
      </c>
      <c r="AC35" s="47">
        <v>3</v>
      </c>
      <c r="AD35" s="47">
        <v>3</v>
      </c>
      <c r="AE35" s="47">
        <v>3</v>
      </c>
      <c r="AF35" s="36">
        <f t="shared" ref="AF35" si="24">(COUNTIF(D35:AE35,1)+COUNTIF(D35:AE35,2)+COUNTIF(D35:AE35,3)+COUNTIF(D35:AE35,"NS"))/28</f>
        <v>1</v>
      </c>
    </row>
    <row r="36" spans="1:32">
      <c r="A36" s="3"/>
      <c r="B36" s="23"/>
      <c r="C36" s="23"/>
      <c r="D36" s="14">
        <f t="shared" ref="D36:AE36" si="25">IF(D35=$A$90,$C$90,IF(D35=$A$91,$C$91,IF(D35=$A$92,$C$92,IF(D35=$A$93,$C$93,IF(D35="NS",100)))))</f>
        <v>100</v>
      </c>
      <c r="E36" s="14">
        <f t="shared" si="25"/>
        <v>100</v>
      </c>
      <c r="F36" s="14">
        <f t="shared" si="25"/>
        <v>100</v>
      </c>
      <c r="G36" s="14">
        <f t="shared" si="25"/>
        <v>100</v>
      </c>
      <c r="H36" s="14">
        <f t="shared" si="25"/>
        <v>100</v>
      </c>
      <c r="I36" s="14">
        <f t="shared" si="25"/>
        <v>100</v>
      </c>
      <c r="J36" s="14">
        <f t="shared" si="25"/>
        <v>100</v>
      </c>
      <c r="K36" s="14">
        <f t="shared" si="25"/>
        <v>100</v>
      </c>
      <c r="L36" s="14">
        <f t="shared" si="25"/>
        <v>100</v>
      </c>
      <c r="M36" s="14">
        <f t="shared" si="25"/>
        <v>100</v>
      </c>
      <c r="N36" s="14">
        <f t="shared" si="25"/>
        <v>100</v>
      </c>
      <c r="O36" s="14">
        <f t="shared" si="25"/>
        <v>100</v>
      </c>
      <c r="P36" s="14">
        <f t="shared" si="25"/>
        <v>100</v>
      </c>
      <c r="Q36" s="14">
        <f t="shared" si="25"/>
        <v>100</v>
      </c>
      <c r="R36" s="14">
        <f t="shared" si="25"/>
        <v>33.33</v>
      </c>
      <c r="S36" s="14">
        <f t="shared" si="25"/>
        <v>100</v>
      </c>
      <c r="T36" s="14">
        <f t="shared" si="25"/>
        <v>100</v>
      </c>
      <c r="U36" s="14">
        <f t="shared" si="25"/>
        <v>100</v>
      </c>
      <c r="V36" s="14">
        <f t="shared" si="25"/>
        <v>100</v>
      </c>
      <c r="W36" s="14">
        <f t="shared" si="25"/>
        <v>100</v>
      </c>
      <c r="X36" s="14">
        <f t="shared" si="25"/>
        <v>100</v>
      </c>
      <c r="Y36" s="14">
        <f t="shared" si="25"/>
        <v>100</v>
      </c>
      <c r="Z36" s="14">
        <f t="shared" si="25"/>
        <v>100</v>
      </c>
      <c r="AA36" s="14">
        <f t="shared" si="25"/>
        <v>100</v>
      </c>
      <c r="AB36" s="14">
        <f t="shared" si="25"/>
        <v>100</v>
      </c>
      <c r="AC36" s="14">
        <f t="shared" si="25"/>
        <v>100</v>
      </c>
      <c r="AD36" s="14">
        <f t="shared" si="25"/>
        <v>100</v>
      </c>
      <c r="AE36" s="14">
        <f t="shared" si="25"/>
        <v>100</v>
      </c>
      <c r="AF36" s="36">
        <f t="shared" si="5"/>
        <v>0.97618928571428565</v>
      </c>
    </row>
    <row r="37" spans="1:32" ht="46.5" customHeight="1">
      <c r="A37" s="15" t="str">
        <f>Instrumento!A18</f>
        <v>Q13</v>
      </c>
      <c r="B37" s="67" t="str">
        <f>Instrumento!B18</f>
        <v>Rol das informações que tenham sido desclassificadas nos últimos 12 (doze) meses - (0 = para constatação de cumprimento ausente, 1 = para constatação de cumprimento fraco; 2 = para constatação de cumprimento moderado; 3 = para constatação de cumprimento forte);</v>
      </c>
      <c r="C37" s="68"/>
      <c r="D37" s="48">
        <v>3</v>
      </c>
      <c r="E37" s="48">
        <v>3</v>
      </c>
      <c r="F37" s="48">
        <v>3</v>
      </c>
      <c r="G37" s="48">
        <v>3</v>
      </c>
      <c r="H37" s="48">
        <v>3</v>
      </c>
      <c r="I37" s="48">
        <v>3</v>
      </c>
      <c r="J37" s="48">
        <v>3</v>
      </c>
      <c r="K37" s="48">
        <v>3</v>
      </c>
      <c r="L37" s="48">
        <v>3</v>
      </c>
      <c r="M37" s="48">
        <v>3</v>
      </c>
      <c r="N37" s="48">
        <v>3</v>
      </c>
      <c r="O37" s="48">
        <v>3</v>
      </c>
      <c r="P37" s="48">
        <v>3</v>
      </c>
      <c r="Q37" s="48">
        <v>0</v>
      </c>
      <c r="R37" s="48">
        <v>0</v>
      </c>
      <c r="S37" s="48">
        <v>3</v>
      </c>
      <c r="T37" s="48">
        <v>0</v>
      </c>
      <c r="U37" s="48">
        <v>0</v>
      </c>
      <c r="V37" s="48">
        <v>3</v>
      </c>
      <c r="W37" s="48">
        <v>3</v>
      </c>
      <c r="X37" s="48">
        <v>3</v>
      </c>
      <c r="Y37" s="48">
        <v>3</v>
      </c>
      <c r="Z37" s="48">
        <v>3</v>
      </c>
      <c r="AA37" s="48">
        <v>3</v>
      </c>
      <c r="AB37" s="48">
        <v>3</v>
      </c>
      <c r="AC37" s="48">
        <v>1</v>
      </c>
      <c r="AD37" s="48">
        <v>3</v>
      </c>
      <c r="AE37" s="48">
        <v>3</v>
      </c>
      <c r="AF37" s="36">
        <f t="shared" ref="AF37" si="26">(COUNTIF(D37:AE37,1)+COUNTIF(D37:AE37,2)+COUNTIF(D37:AE37,3)+COUNTIF(D37:AE37,"NS"))/28</f>
        <v>0.8571428571428571</v>
      </c>
    </row>
    <row r="38" spans="1:32">
      <c r="A38" s="3"/>
      <c r="B38" s="23"/>
      <c r="C38" s="23"/>
      <c r="D38" s="13">
        <f t="shared" ref="D38:AE38" si="27">IF(D37=$A$90,$C$90,IF(D37=$A$91,$C$91,IF(D37=$A$92,$C$92,IF(D37=$A$93,$C$93,IF(D37="NS",100)))))</f>
        <v>100</v>
      </c>
      <c r="E38" s="13">
        <f t="shared" si="27"/>
        <v>100</v>
      </c>
      <c r="F38" s="13">
        <f t="shared" si="27"/>
        <v>100</v>
      </c>
      <c r="G38" s="13">
        <f t="shared" si="27"/>
        <v>100</v>
      </c>
      <c r="H38" s="13">
        <f t="shared" si="27"/>
        <v>100</v>
      </c>
      <c r="I38" s="13">
        <f t="shared" si="27"/>
        <v>100</v>
      </c>
      <c r="J38" s="13">
        <f t="shared" si="27"/>
        <v>100</v>
      </c>
      <c r="K38" s="13">
        <f t="shared" si="27"/>
        <v>100</v>
      </c>
      <c r="L38" s="13">
        <f t="shared" si="27"/>
        <v>100</v>
      </c>
      <c r="M38" s="13">
        <f t="shared" si="27"/>
        <v>100</v>
      </c>
      <c r="N38" s="13">
        <f t="shared" si="27"/>
        <v>100</v>
      </c>
      <c r="O38" s="13">
        <f t="shared" si="27"/>
        <v>100</v>
      </c>
      <c r="P38" s="13">
        <f t="shared" si="27"/>
        <v>100</v>
      </c>
      <c r="Q38" s="13">
        <f t="shared" si="27"/>
        <v>0</v>
      </c>
      <c r="R38" s="13">
        <f t="shared" si="27"/>
        <v>0</v>
      </c>
      <c r="S38" s="13">
        <f t="shared" si="27"/>
        <v>100</v>
      </c>
      <c r="T38" s="13">
        <f t="shared" si="27"/>
        <v>0</v>
      </c>
      <c r="U38" s="13">
        <f t="shared" si="27"/>
        <v>0</v>
      </c>
      <c r="V38" s="13">
        <f t="shared" si="27"/>
        <v>100</v>
      </c>
      <c r="W38" s="13">
        <f t="shared" si="27"/>
        <v>100</v>
      </c>
      <c r="X38" s="13">
        <f t="shared" si="27"/>
        <v>100</v>
      </c>
      <c r="Y38" s="13">
        <f t="shared" si="27"/>
        <v>100</v>
      </c>
      <c r="Z38" s="13">
        <f t="shared" si="27"/>
        <v>100</v>
      </c>
      <c r="AA38" s="13">
        <f t="shared" si="27"/>
        <v>100</v>
      </c>
      <c r="AB38" s="13">
        <f t="shared" si="27"/>
        <v>100</v>
      </c>
      <c r="AC38" s="13">
        <f t="shared" si="27"/>
        <v>33.33</v>
      </c>
      <c r="AD38" s="13">
        <f t="shared" si="27"/>
        <v>100</v>
      </c>
      <c r="AE38" s="13">
        <f t="shared" si="27"/>
        <v>100</v>
      </c>
      <c r="AF38" s="36">
        <f t="shared" si="5"/>
        <v>0.83333214285714285</v>
      </c>
    </row>
    <row r="39" spans="1:32" ht="48.75" customHeight="1">
      <c r="A39" s="12" t="str">
        <f>Instrumento!A19</f>
        <v>Q14</v>
      </c>
      <c r="B39" s="63" t="str">
        <f>Instrumento!B19</f>
        <v>Rol de documentos classificados em cada grau de sigilo, com identificação para referência futura - (0 = para constatação de cumprimento ausente, 1 = para constatação de cumprimento fraco; 2 = para constatação de cumprimento moderado; 3 = para constatação de cumprimento forte);</v>
      </c>
      <c r="C39" s="64"/>
      <c r="D39" s="47">
        <v>3</v>
      </c>
      <c r="E39" s="47">
        <v>0</v>
      </c>
      <c r="F39" s="47">
        <v>3</v>
      </c>
      <c r="G39" s="47">
        <v>3</v>
      </c>
      <c r="H39" s="47">
        <v>3</v>
      </c>
      <c r="I39" s="47">
        <v>3</v>
      </c>
      <c r="J39" s="47">
        <v>3</v>
      </c>
      <c r="K39" s="47">
        <v>3</v>
      </c>
      <c r="L39" s="47">
        <v>3</v>
      </c>
      <c r="M39" s="47">
        <v>3</v>
      </c>
      <c r="N39" s="47">
        <v>3</v>
      </c>
      <c r="O39" s="47">
        <v>3</v>
      </c>
      <c r="P39" s="47">
        <v>3</v>
      </c>
      <c r="Q39" s="47">
        <v>3</v>
      </c>
      <c r="R39" s="47">
        <v>0</v>
      </c>
      <c r="S39" s="47">
        <v>3</v>
      </c>
      <c r="T39" s="47">
        <v>3</v>
      </c>
      <c r="U39" s="47">
        <v>1</v>
      </c>
      <c r="V39" s="47">
        <v>3</v>
      </c>
      <c r="W39" s="47">
        <v>3</v>
      </c>
      <c r="X39" s="47">
        <v>3</v>
      </c>
      <c r="Y39" s="47">
        <v>3</v>
      </c>
      <c r="Z39" s="47">
        <v>3</v>
      </c>
      <c r="AA39" s="47">
        <v>3</v>
      </c>
      <c r="AB39" s="47">
        <v>3</v>
      </c>
      <c r="AC39" s="47">
        <v>1</v>
      </c>
      <c r="AD39" s="47">
        <v>3</v>
      </c>
      <c r="AE39" s="47">
        <v>3</v>
      </c>
      <c r="AF39" s="36">
        <f t="shared" ref="AF39" si="28">(COUNTIF(D39:AE39,1)+COUNTIF(D39:AE39,2)+COUNTIF(D39:AE39,3)+COUNTIF(D39:AE39,"NS"))/28</f>
        <v>0.9285714285714286</v>
      </c>
    </row>
    <row r="40" spans="1:32">
      <c r="A40" s="3"/>
      <c r="B40" s="23"/>
      <c r="C40" s="23"/>
      <c r="D40" s="14">
        <f t="shared" ref="D40:AE40" si="29">IF(D39=$A$90,$C$90,IF(D39=$A$91,$C$91,IF(D39=$A$92,$C$92,IF(D39=$A$93,$C$93,IF(D39="NS",100)))))</f>
        <v>100</v>
      </c>
      <c r="E40" s="14">
        <f t="shared" si="29"/>
        <v>0</v>
      </c>
      <c r="F40" s="14">
        <f t="shared" si="29"/>
        <v>100</v>
      </c>
      <c r="G40" s="14">
        <f t="shared" si="29"/>
        <v>100</v>
      </c>
      <c r="H40" s="14">
        <f t="shared" si="29"/>
        <v>100</v>
      </c>
      <c r="I40" s="14">
        <f t="shared" si="29"/>
        <v>100</v>
      </c>
      <c r="J40" s="14">
        <f t="shared" si="29"/>
        <v>100</v>
      </c>
      <c r="K40" s="14">
        <f t="shared" si="29"/>
        <v>100</v>
      </c>
      <c r="L40" s="14">
        <f t="shared" si="29"/>
        <v>100</v>
      </c>
      <c r="M40" s="14">
        <f t="shared" si="29"/>
        <v>100</v>
      </c>
      <c r="N40" s="14">
        <f t="shared" si="29"/>
        <v>100</v>
      </c>
      <c r="O40" s="14">
        <f t="shared" si="29"/>
        <v>100</v>
      </c>
      <c r="P40" s="14">
        <f t="shared" si="29"/>
        <v>100</v>
      </c>
      <c r="Q40" s="14">
        <f t="shared" si="29"/>
        <v>100</v>
      </c>
      <c r="R40" s="14">
        <f t="shared" si="29"/>
        <v>0</v>
      </c>
      <c r="S40" s="14">
        <f t="shared" si="29"/>
        <v>100</v>
      </c>
      <c r="T40" s="14">
        <f t="shared" si="29"/>
        <v>100</v>
      </c>
      <c r="U40" s="14">
        <f t="shared" si="29"/>
        <v>33.33</v>
      </c>
      <c r="V40" s="14">
        <f t="shared" si="29"/>
        <v>100</v>
      </c>
      <c r="W40" s="14">
        <f t="shared" si="29"/>
        <v>100</v>
      </c>
      <c r="X40" s="14">
        <f t="shared" si="29"/>
        <v>100</v>
      </c>
      <c r="Y40" s="14">
        <f t="shared" si="29"/>
        <v>100</v>
      </c>
      <c r="Z40" s="14">
        <f t="shared" si="29"/>
        <v>100</v>
      </c>
      <c r="AA40" s="14">
        <f t="shared" si="29"/>
        <v>100</v>
      </c>
      <c r="AB40" s="14">
        <f t="shared" si="29"/>
        <v>100</v>
      </c>
      <c r="AC40" s="14">
        <f t="shared" si="29"/>
        <v>33.33</v>
      </c>
      <c r="AD40" s="14">
        <f t="shared" si="29"/>
        <v>100</v>
      </c>
      <c r="AE40" s="14">
        <f t="shared" si="29"/>
        <v>100</v>
      </c>
      <c r="AF40" s="36">
        <f t="shared" si="5"/>
        <v>0.8809499999999999</v>
      </c>
    </row>
    <row r="41" spans="1:32" ht="63.75" customHeight="1">
      <c r="A41" s="15" t="str">
        <f>Instrumento!A20</f>
        <v>Q15</v>
      </c>
      <c r="B41" s="67" t="str">
        <f>Instrumento!B20</f>
        <v>Relatório estatístico contendo a quantidade de pedidos de informação recebidos, atendidos e indeferidos, bem como informações genéricas sobre os solicitantes - últimos três anos - 2017, 2018 e 2019 - (0 = para constatação de cumprimento ausente, 1 = para constatação de cumprimento fraco; 2 = para constatação de cumprimento moderado; 3 = para constatação de cumprimento forte);</v>
      </c>
      <c r="C41" s="68"/>
      <c r="D41" s="48">
        <v>1</v>
      </c>
      <c r="E41" s="48">
        <v>0</v>
      </c>
      <c r="F41" s="48">
        <v>1</v>
      </c>
      <c r="G41" s="48">
        <v>1</v>
      </c>
      <c r="H41" s="48">
        <v>1</v>
      </c>
      <c r="I41" s="48">
        <v>1</v>
      </c>
      <c r="J41" s="48">
        <v>1</v>
      </c>
      <c r="K41" s="48">
        <v>1</v>
      </c>
      <c r="L41" s="48">
        <v>1</v>
      </c>
      <c r="M41" s="48">
        <v>1</v>
      </c>
      <c r="N41" s="48">
        <v>1</v>
      </c>
      <c r="O41" s="48">
        <v>2</v>
      </c>
      <c r="P41" s="48">
        <v>1</v>
      </c>
      <c r="Q41" s="48">
        <v>1</v>
      </c>
      <c r="R41" s="48">
        <v>1</v>
      </c>
      <c r="S41" s="48">
        <v>1</v>
      </c>
      <c r="T41" s="48">
        <v>1</v>
      </c>
      <c r="U41" s="48">
        <v>3</v>
      </c>
      <c r="V41" s="48">
        <v>3</v>
      </c>
      <c r="W41" s="48">
        <v>3</v>
      </c>
      <c r="X41" s="48">
        <v>1</v>
      </c>
      <c r="Y41" s="48">
        <v>1</v>
      </c>
      <c r="Z41" s="48">
        <v>1</v>
      </c>
      <c r="AA41" s="48">
        <v>2</v>
      </c>
      <c r="AB41" s="48">
        <v>3</v>
      </c>
      <c r="AC41" s="48">
        <v>1</v>
      </c>
      <c r="AD41" s="48">
        <v>3</v>
      </c>
      <c r="AE41" s="48">
        <v>3</v>
      </c>
      <c r="AF41" s="36">
        <f t="shared" ref="AF41" si="30">(COUNTIF(D41:AE41,1)+COUNTIF(D41:AE41,2)+COUNTIF(D41:AE41,3)+COUNTIF(D41:AE41,"NS"))/28</f>
        <v>0.9642857142857143</v>
      </c>
    </row>
    <row r="42" spans="1:32">
      <c r="A42" s="3"/>
      <c r="B42" s="23"/>
      <c r="C42" s="23"/>
      <c r="D42" s="13">
        <f t="shared" ref="D42:AE42" si="31">IF(D41=$A$90,$C$90,IF(D41=$A$91,$C$91,IF(D41=$A$92,$C$92,IF(D41=$A$93,$C$93,IF(D41="NS",100)))))</f>
        <v>33.33</v>
      </c>
      <c r="E42" s="13">
        <f t="shared" si="31"/>
        <v>0</v>
      </c>
      <c r="F42" s="13">
        <f t="shared" si="31"/>
        <v>33.33</v>
      </c>
      <c r="G42" s="13">
        <f t="shared" si="31"/>
        <v>33.33</v>
      </c>
      <c r="H42" s="13">
        <f t="shared" si="31"/>
        <v>33.33</v>
      </c>
      <c r="I42" s="13">
        <f t="shared" si="31"/>
        <v>33.33</v>
      </c>
      <c r="J42" s="13">
        <f t="shared" si="31"/>
        <v>33.33</v>
      </c>
      <c r="K42" s="13">
        <f t="shared" si="31"/>
        <v>33.33</v>
      </c>
      <c r="L42" s="13">
        <f t="shared" si="31"/>
        <v>33.33</v>
      </c>
      <c r="M42" s="13">
        <f t="shared" si="31"/>
        <v>33.33</v>
      </c>
      <c r="N42" s="13">
        <f t="shared" si="31"/>
        <v>33.33</v>
      </c>
      <c r="O42" s="13">
        <f t="shared" si="31"/>
        <v>50</v>
      </c>
      <c r="P42" s="13">
        <f t="shared" si="31"/>
        <v>33.33</v>
      </c>
      <c r="Q42" s="13">
        <f t="shared" si="31"/>
        <v>33.33</v>
      </c>
      <c r="R42" s="13">
        <f t="shared" si="31"/>
        <v>33.33</v>
      </c>
      <c r="S42" s="13">
        <f t="shared" si="31"/>
        <v>33.33</v>
      </c>
      <c r="T42" s="13">
        <f t="shared" si="31"/>
        <v>33.33</v>
      </c>
      <c r="U42" s="13">
        <f t="shared" si="31"/>
        <v>100</v>
      </c>
      <c r="V42" s="13">
        <f t="shared" si="31"/>
        <v>100</v>
      </c>
      <c r="W42" s="13">
        <f t="shared" si="31"/>
        <v>100</v>
      </c>
      <c r="X42" s="13">
        <f t="shared" si="31"/>
        <v>33.33</v>
      </c>
      <c r="Y42" s="13">
        <f t="shared" si="31"/>
        <v>33.33</v>
      </c>
      <c r="Z42" s="13">
        <f t="shared" si="31"/>
        <v>33.33</v>
      </c>
      <c r="AA42" s="13">
        <f t="shared" si="31"/>
        <v>50</v>
      </c>
      <c r="AB42" s="13">
        <f t="shared" si="31"/>
        <v>100</v>
      </c>
      <c r="AC42" s="13">
        <f t="shared" si="31"/>
        <v>33.33</v>
      </c>
      <c r="AD42" s="13">
        <f t="shared" si="31"/>
        <v>100</v>
      </c>
      <c r="AE42" s="13">
        <f t="shared" si="31"/>
        <v>100</v>
      </c>
      <c r="AF42" s="36">
        <f t="shared" si="5"/>
        <v>0.47616785714285714</v>
      </c>
    </row>
    <row r="43" spans="1:32" ht="75.75" customHeight="1">
      <c r="A43" s="12" t="str">
        <f>Instrumento!A21</f>
        <v>Q16</v>
      </c>
      <c r="B43" s="63" t="str">
        <f>Instrumento!B21</f>
        <v>Licitações - Divulgação em seus sítios na Internet de informações sobre licitações realizadas e em andamento, com editais, anexos e resultados, além dos contratos firmados e notas de empenho emitidas - (0 = para constatação de cumprimento ausente, 1 = para constatação de cumprimento fraco; 2 = para constatação de cumprimento moderado; 3 = para constatação de cumprimento forte);</v>
      </c>
      <c r="C43" s="64"/>
      <c r="D43" s="47">
        <v>2</v>
      </c>
      <c r="E43" s="47">
        <v>2</v>
      </c>
      <c r="F43" s="47">
        <v>2</v>
      </c>
      <c r="G43" s="47">
        <v>2</v>
      </c>
      <c r="H43" s="47">
        <v>2</v>
      </c>
      <c r="I43" s="47">
        <v>2</v>
      </c>
      <c r="J43" s="47">
        <v>2</v>
      </c>
      <c r="K43" s="47">
        <v>2</v>
      </c>
      <c r="L43" s="47">
        <v>2</v>
      </c>
      <c r="M43" s="47">
        <v>2</v>
      </c>
      <c r="N43" s="47">
        <v>2</v>
      </c>
      <c r="O43" s="47">
        <v>3</v>
      </c>
      <c r="P43" s="47">
        <v>2</v>
      </c>
      <c r="Q43" s="47">
        <v>2</v>
      </c>
      <c r="R43" s="47">
        <v>1</v>
      </c>
      <c r="S43" s="47">
        <v>1</v>
      </c>
      <c r="T43" s="47">
        <v>2</v>
      </c>
      <c r="U43" s="47">
        <v>2</v>
      </c>
      <c r="V43" s="47">
        <v>3</v>
      </c>
      <c r="W43" s="47">
        <v>2</v>
      </c>
      <c r="X43" s="47">
        <v>3</v>
      </c>
      <c r="Y43" s="47">
        <v>2</v>
      </c>
      <c r="Z43" s="47">
        <v>1</v>
      </c>
      <c r="AA43" s="47">
        <v>1</v>
      </c>
      <c r="AB43" s="47">
        <v>3</v>
      </c>
      <c r="AC43" s="47">
        <v>2</v>
      </c>
      <c r="AD43" s="47">
        <v>3</v>
      </c>
      <c r="AE43" s="47">
        <v>2</v>
      </c>
      <c r="AF43" s="36">
        <f t="shared" ref="AF43" si="32">(COUNTIF(D43:AE43,1)+COUNTIF(D43:AE43,2)+COUNTIF(D43:AE43,3)+COUNTIF(D43:AE43,"NS"))/28</f>
        <v>1</v>
      </c>
    </row>
    <row r="44" spans="1:32">
      <c r="A44" s="3"/>
      <c r="B44" s="23"/>
      <c r="C44" s="23"/>
      <c r="D44" s="14">
        <f t="shared" ref="D44:AE44" si="33">IF(D43=$A$90,$C$90,IF(D43=$A$91,$C$91,IF(D43=$A$92,$C$92,IF(D43=$A$93,$C$93,IF(D43="NS",100)))))</f>
        <v>50</v>
      </c>
      <c r="E44" s="14">
        <f t="shared" si="33"/>
        <v>50</v>
      </c>
      <c r="F44" s="14">
        <f t="shared" si="33"/>
        <v>50</v>
      </c>
      <c r="G44" s="14">
        <f t="shared" si="33"/>
        <v>50</v>
      </c>
      <c r="H44" s="14">
        <f t="shared" si="33"/>
        <v>50</v>
      </c>
      <c r="I44" s="14">
        <f t="shared" si="33"/>
        <v>50</v>
      </c>
      <c r="J44" s="14">
        <f t="shared" si="33"/>
        <v>50</v>
      </c>
      <c r="K44" s="14">
        <f t="shared" si="33"/>
        <v>50</v>
      </c>
      <c r="L44" s="14">
        <f t="shared" si="33"/>
        <v>50</v>
      </c>
      <c r="M44" s="14">
        <f t="shared" si="33"/>
        <v>50</v>
      </c>
      <c r="N44" s="14">
        <f t="shared" si="33"/>
        <v>50</v>
      </c>
      <c r="O44" s="14">
        <f t="shared" si="33"/>
        <v>100</v>
      </c>
      <c r="P44" s="14">
        <f t="shared" si="33"/>
        <v>50</v>
      </c>
      <c r="Q44" s="14">
        <f t="shared" si="33"/>
        <v>50</v>
      </c>
      <c r="R44" s="14">
        <f t="shared" si="33"/>
        <v>33.33</v>
      </c>
      <c r="S44" s="14">
        <f t="shared" si="33"/>
        <v>33.33</v>
      </c>
      <c r="T44" s="14">
        <f t="shared" si="33"/>
        <v>50</v>
      </c>
      <c r="U44" s="14">
        <f t="shared" si="33"/>
        <v>50</v>
      </c>
      <c r="V44" s="14">
        <f t="shared" si="33"/>
        <v>100</v>
      </c>
      <c r="W44" s="14">
        <f t="shared" si="33"/>
        <v>50</v>
      </c>
      <c r="X44" s="14">
        <f t="shared" si="33"/>
        <v>100</v>
      </c>
      <c r="Y44" s="14">
        <f t="shared" si="33"/>
        <v>50</v>
      </c>
      <c r="Z44" s="14">
        <f t="shared" si="33"/>
        <v>33.33</v>
      </c>
      <c r="AA44" s="14">
        <f t="shared" si="33"/>
        <v>33.33</v>
      </c>
      <c r="AB44" s="14">
        <f t="shared" si="33"/>
        <v>100</v>
      </c>
      <c r="AC44" s="14">
        <f t="shared" si="33"/>
        <v>50</v>
      </c>
      <c r="AD44" s="14">
        <f t="shared" si="33"/>
        <v>100</v>
      </c>
      <c r="AE44" s="14">
        <f t="shared" si="33"/>
        <v>50</v>
      </c>
      <c r="AF44" s="36">
        <f t="shared" si="5"/>
        <v>0.56547142857142851</v>
      </c>
    </row>
    <row r="45" spans="1:32" ht="57" customHeight="1">
      <c r="A45" s="15" t="str">
        <f>Instrumento!A22</f>
        <v>Q17</v>
      </c>
      <c r="B45" s="67" t="str">
        <f>Instrumento!B22</f>
        <v>Registro das competências e estrutura organizacional, endereços e telefones das respectivas unidades e horários de atendimento ao público - (0 = para constatação de cumprimento ausente, 1 = para constatação de cumprimento fraco; 2 = para constatação de cumprimento moderado; 3 = para constatação de cumprimento forte);</v>
      </c>
      <c r="C45" s="68"/>
      <c r="D45" s="48">
        <v>3</v>
      </c>
      <c r="E45" s="48">
        <v>3</v>
      </c>
      <c r="F45" s="48">
        <v>3</v>
      </c>
      <c r="G45" s="48">
        <v>3</v>
      </c>
      <c r="H45" s="48">
        <v>3</v>
      </c>
      <c r="I45" s="48">
        <v>3</v>
      </c>
      <c r="J45" s="48">
        <v>3</v>
      </c>
      <c r="K45" s="48">
        <v>3</v>
      </c>
      <c r="L45" s="48">
        <v>3</v>
      </c>
      <c r="M45" s="48">
        <v>3</v>
      </c>
      <c r="N45" s="48">
        <v>3</v>
      </c>
      <c r="O45" s="48">
        <v>3</v>
      </c>
      <c r="P45" s="48">
        <v>3</v>
      </c>
      <c r="Q45" s="48">
        <v>3</v>
      </c>
      <c r="R45" s="48">
        <v>3</v>
      </c>
      <c r="S45" s="48">
        <v>3</v>
      </c>
      <c r="T45" s="48">
        <v>3</v>
      </c>
      <c r="U45" s="48">
        <v>3</v>
      </c>
      <c r="V45" s="48">
        <v>3</v>
      </c>
      <c r="W45" s="48">
        <v>3</v>
      </c>
      <c r="X45" s="48">
        <v>3</v>
      </c>
      <c r="Y45" s="48">
        <v>3</v>
      </c>
      <c r="Z45" s="48">
        <v>3</v>
      </c>
      <c r="AA45" s="48">
        <v>3</v>
      </c>
      <c r="AB45" s="48">
        <v>3</v>
      </c>
      <c r="AC45" s="48">
        <v>3</v>
      </c>
      <c r="AD45" s="48">
        <v>3</v>
      </c>
      <c r="AE45" s="48">
        <v>3</v>
      </c>
      <c r="AF45" s="36">
        <f t="shared" ref="AF45" si="34">(COUNTIF(D45:AE45,1)+COUNTIF(D45:AE45,2)+COUNTIF(D45:AE45,3)+COUNTIF(D45:AE45,"NS"))/28</f>
        <v>1</v>
      </c>
    </row>
    <row r="46" spans="1:32">
      <c r="A46" s="3"/>
      <c r="B46" s="23"/>
      <c r="C46" s="23"/>
      <c r="D46" s="13">
        <f t="shared" ref="D46:AE46" si="35">IF(D45=$A$90,$C$90,IF(D45=$A$91,$C$91,IF(D45=$A$92,$C$92,IF(D45=$A$93,$C$93,IF(D45="NS",100)))))</f>
        <v>100</v>
      </c>
      <c r="E46" s="13">
        <f t="shared" si="35"/>
        <v>100</v>
      </c>
      <c r="F46" s="13">
        <f t="shared" si="35"/>
        <v>100</v>
      </c>
      <c r="G46" s="13">
        <f t="shared" si="35"/>
        <v>100</v>
      </c>
      <c r="H46" s="13">
        <f t="shared" si="35"/>
        <v>100</v>
      </c>
      <c r="I46" s="13">
        <f t="shared" si="35"/>
        <v>100</v>
      </c>
      <c r="J46" s="13">
        <f t="shared" si="35"/>
        <v>100</v>
      </c>
      <c r="K46" s="13">
        <f t="shared" si="35"/>
        <v>100</v>
      </c>
      <c r="L46" s="13">
        <f t="shared" si="35"/>
        <v>100</v>
      </c>
      <c r="M46" s="13">
        <f t="shared" si="35"/>
        <v>100</v>
      </c>
      <c r="N46" s="13">
        <f t="shared" si="35"/>
        <v>100</v>
      </c>
      <c r="O46" s="13">
        <f t="shared" si="35"/>
        <v>100</v>
      </c>
      <c r="P46" s="13">
        <f t="shared" si="35"/>
        <v>100</v>
      </c>
      <c r="Q46" s="13">
        <f t="shared" si="35"/>
        <v>100</v>
      </c>
      <c r="R46" s="13">
        <f t="shared" si="35"/>
        <v>100</v>
      </c>
      <c r="S46" s="13">
        <f t="shared" si="35"/>
        <v>100</v>
      </c>
      <c r="T46" s="13">
        <f t="shared" si="35"/>
        <v>100</v>
      </c>
      <c r="U46" s="13">
        <f t="shared" si="35"/>
        <v>100</v>
      </c>
      <c r="V46" s="13">
        <f t="shared" si="35"/>
        <v>100</v>
      </c>
      <c r="W46" s="13">
        <f t="shared" si="35"/>
        <v>100</v>
      </c>
      <c r="X46" s="13">
        <f t="shared" si="35"/>
        <v>100</v>
      </c>
      <c r="Y46" s="13">
        <f t="shared" si="35"/>
        <v>100</v>
      </c>
      <c r="Z46" s="13">
        <f t="shared" si="35"/>
        <v>100</v>
      </c>
      <c r="AA46" s="13">
        <f t="shared" si="35"/>
        <v>100</v>
      </c>
      <c r="AB46" s="13">
        <f t="shared" si="35"/>
        <v>100</v>
      </c>
      <c r="AC46" s="13">
        <f t="shared" si="35"/>
        <v>100</v>
      </c>
      <c r="AD46" s="13">
        <f t="shared" si="35"/>
        <v>100</v>
      </c>
      <c r="AE46" s="13">
        <f t="shared" si="35"/>
        <v>100</v>
      </c>
      <c r="AF46" s="36">
        <f t="shared" si="5"/>
        <v>1</v>
      </c>
    </row>
    <row r="47" spans="1:32" ht="42.75" customHeight="1">
      <c r="A47" s="12" t="str">
        <f>Instrumento!A23</f>
        <v>Q18</v>
      </c>
      <c r="B47" s="63" t="str">
        <f>Instrumento!B23</f>
        <v>Divulgação do contato da autoridade de monitoramento, telefone e correio eletrônico do Serviço de Informações ao Cidadão – SIC - (0 = para constatação de cumprimento ausente e 3 = para constatação de cumprimento forte) equivalente a Não ou Sim;</v>
      </c>
      <c r="C47" s="64"/>
      <c r="D47" s="47">
        <v>0</v>
      </c>
      <c r="E47" s="47">
        <v>0</v>
      </c>
      <c r="F47" s="47">
        <v>0</v>
      </c>
      <c r="G47" s="47">
        <v>0</v>
      </c>
      <c r="H47" s="47">
        <v>0</v>
      </c>
      <c r="I47" s="47">
        <v>0</v>
      </c>
      <c r="J47" s="47">
        <v>0</v>
      </c>
      <c r="K47" s="47">
        <v>3</v>
      </c>
      <c r="L47" s="47">
        <v>0</v>
      </c>
      <c r="M47" s="47">
        <v>3</v>
      </c>
      <c r="N47" s="47">
        <v>0</v>
      </c>
      <c r="O47" s="47">
        <v>0</v>
      </c>
      <c r="P47" s="47">
        <v>0</v>
      </c>
      <c r="Q47" s="47">
        <v>0</v>
      </c>
      <c r="R47" s="47">
        <v>0</v>
      </c>
      <c r="S47" s="47">
        <v>0</v>
      </c>
      <c r="T47" s="47">
        <v>0</v>
      </c>
      <c r="U47" s="47">
        <v>0</v>
      </c>
      <c r="V47" s="47">
        <v>0</v>
      </c>
      <c r="W47" s="47">
        <v>0</v>
      </c>
      <c r="X47" s="47">
        <v>0</v>
      </c>
      <c r="Y47" s="47">
        <v>0</v>
      </c>
      <c r="Z47" s="47">
        <v>3</v>
      </c>
      <c r="AA47" s="47">
        <v>0</v>
      </c>
      <c r="AB47" s="47">
        <v>0</v>
      </c>
      <c r="AC47" s="47">
        <v>0</v>
      </c>
      <c r="AD47" s="47">
        <v>0</v>
      </c>
      <c r="AE47" s="47">
        <v>0</v>
      </c>
      <c r="AF47" s="36">
        <f t="shared" ref="AF47" si="36">(COUNTIF(D47:AE47,1)+COUNTIF(D47:AE47,2)+COUNTIF(D47:AE47,3)+COUNTIF(D47:AE47,"NS"))/28</f>
        <v>0.10714285714285714</v>
      </c>
    </row>
    <row r="48" spans="1:32">
      <c r="A48" s="9"/>
      <c r="B48" s="16"/>
      <c r="C48" s="11"/>
      <c r="D48" s="14">
        <f t="shared" ref="D48:AE48" si="37">IF(D47=$A$90,$C$90,IF(D47=$A$91,$C$91,IF(D47=$A$92,$C$92,IF(D47=$A$93,$C$93,IF(D47="NS",100)))))</f>
        <v>0</v>
      </c>
      <c r="E48" s="14">
        <f t="shared" si="37"/>
        <v>0</v>
      </c>
      <c r="F48" s="14">
        <f t="shared" si="37"/>
        <v>0</v>
      </c>
      <c r="G48" s="14">
        <f t="shared" si="37"/>
        <v>0</v>
      </c>
      <c r="H48" s="14">
        <f t="shared" si="37"/>
        <v>0</v>
      </c>
      <c r="I48" s="14">
        <f t="shared" si="37"/>
        <v>0</v>
      </c>
      <c r="J48" s="14">
        <f t="shared" si="37"/>
        <v>0</v>
      </c>
      <c r="K48" s="14">
        <f t="shared" si="37"/>
        <v>100</v>
      </c>
      <c r="L48" s="14">
        <f t="shared" si="37"/>
        <v>0</v>
      </c>
      <c r="M48" s="14">
        <f t="shared" si="37"/>
        <v>100</v>
      </c>
      <c r="N48" s="14">
        <f t="shared" si="37"/>
        <v>0</v>
      </c>
      <c r="O48" s="14">
        <f t="shared" si="37"/>
        <v>0</v>
      </c>
      <c r="P48" s="14">
        <f t="shared" si="37"/>
        <v>0</v>
      </c>
      <c r="Q48" s="14">
        <f t="shared" si="37"/>
        <v>0</v>
      </c>
      <c r="R48" s="14">
        <f t="shared" si="37"/>
        <v>0</v>
      </c>
      <c r="S48" s="14">
        <f t="shared" si="37"/>
        <v>0</v>
      </c>
      <c r="T48" s="14">
        <f t="shared" si="37"/>
        <v>0</v>
      </c>
      <c r="U48" s="14">
        <f t="shared" si="37"/>
        <v>0</v>
      </c>
      <c r="V48" s="14">
        <f t="shared" si="37"/>
        <v>0</v>
      </c>
      <c r="W48" s="14">
        <f t="shared" si="37"/>
        <v>0</v>
      </c>
      <c r="X48" s="14">
        <f t="shared" si="37"/>
        <v>0</v>
      </c>
      <c r="Y48" s="14">
        <f t="shared" si="37"/>
        <v>0</v>
      </c>
      <c r="Z48" s="14">
        <f t="shared" si="37"/>
        <v>100</v>
      </c>
      <c r="AA48" s="14">
        <f t="shared" si="37"/>
        <v>0</v>
      </c>
      <c r="AB48" s="14">
        <f t="shared" si="37"/>
        <v>0</v>
      </c>
      <c r="AC48" s="14">
        <f t="shared" si="37"/>
        <v>0</v>
      </c>
      <c r="AD48" s="14">
        <f t="shared" si="37"/>
        <v>0</v>
      </c>
      <c r="AE48" s="14">
        <f t="shared" si="37"/>
        <v>0</v>
      </c>
      <c r="AF48" s="36">
        <f t="shared" si="5"/>
        <v>0.10714285714285714</v>
      </c>
    </row>
    <row r="49" spans="1:34">
      <c r="A49" s="9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</row>
    <row r="50" spans="1:34" ht="18.75" customHeight="1">
      <c r="A50" s="21"/>
      <c r="B50" s="21"/>
      <c r="C50" s="21"/>
      <c r="D50" s="71" t="s">
        <v>65</v>
      </c>
      <c r="E50" s="76"/>
      <c r="F50" s="76"/>
      <c r="G50" s="76"/>
      <c r="H50" s="76"/>
      <c r="I50" s="76"/>
      <c r="J50" s="76"/>
      <c r="K50" s="76"/>
      <c r="L50" s="76"/>
      <c r="M50" s="76"/>
      <c r="N50" s="76"/>
      <c r="O50" s="76"/>
      <c r="P50" s="76"/>
      <c r="Q50" s="76"/>
      <c r="R50" s="76"/>
      <c r="S50" s="76"/>
      <c r="T50" s="76"/>
      <c r="U50" s="76"/>
      <c r="V50" s="76"/>
      <c r="W50" s="76"/>
      <c r="X50" s="76"/>
      <c r="Y50" s="76"/>
      <c r="Z50" s="76"/>
      <c r="AA50" s="76"/>
      <c r="AB50" s="76"/>
      <c r="AC50" s="76"/>
      <c r="AD50" s="76"/>
      <c r="AE50" s="72"/>
      <c r="AF50" s="36"/>
    </row>
    <row r="51" spans="1:34" ht="18.75" customHeight="1">
      <c r="A51" s="2" t="s">
        <v>52</v>
      </c>
      <c r="B51" s="71" t="s">
        <v>0</v>
      </c>
      <c r="C51" s="72"/>
      <c r="D51" s="8" t="s">
        <v>24</v>
      </c>
      <c r="E51" s="8" t="s">
        <v>25</v>
      </c>
      <c r="F51" s="8" t="s">
        <v>26</v>
      </c>
      <c r="G51" s="8" t="s">
        <v>27</v>
      </c>
      <c r="H51" s="8" t="s">
        <v>28</v>
      </c>
      <c r="I51" s="8" t="s">
        <v>29</v>
      </c>
      <c r="J51" s="8" t="s">
        <v>30</v>
      </c>
      <c r="K51" s="8" t="s">
        <v>31</v>
      </c>
      <c r="L51" s="8" t="s">
        <v>32</v>
      </c>
      <c r="M51" s="8" t="s">
        <v>33</v>
      </c>
      <c r="N51" s="8" t="s">
        <v>34</v>
      </c>
      <c r="O51" s="8" t="s">
        <v>35</v>
      </c>
      <c r="P51" s="8" t="s">
        <v>36</v>
      </c>
      <c r="Q51" s="8" t="s">
        <v>37</v>
      </c>
      <c r="R51" s="8" t="s">
        <v>38</v>
      </c>
      <c r="S51" s="8" t="s">
        <v>39</v>
      </c>
      <c r="T51" s="8" t="s">
        <v>40</v>
      </c>
      <c r="U51" s="8" t="s">
        <v>41</v>
      </c>
      <c r="V51" s="8" t="s">
        <v>42</v>
      </c>
      <c r="W51" s="8" t="s">
        <v>43</v>
      </c>
      <c r="X51" s="8" t="s">
        <v>44</v>
      </c>
      <c r="Y51" s="8" t="s">
        <v>45</v>
      </c>
      <c r="Z51" s="8" t="s">
        <v>46</v>
      </c>
      <c r="AA51" s="8" t="s">
        <v>47</v>
      </c>
      <c r="AB51" s="8" t="s">
        <v>48</v>
      </c>
      <c r="AC51" s="8" t="s">
        <v>49</v>
      </c>
      <c r="AD51" s="8" t="s">
        <v>50</v>
      </c>
      <c r="AE51" s="8" t="s">
        <v>51</v>
      </c>
      <c r="AF51" s="36"/>
    </row>
    <row r="52" spans="1:34" ht="18.75" customHeight="1">
      <c r="B52" s="1"/>
      <c r="C52" s="22"/>
      <c r="D52" s="19">
        <f>SUM(D57+D59+D61+D63+D65+D67+D69+D71+D73+D75+D77+D79+D81+D83)</f>
        <v>1150</v>
      </c>
      <c r="E52" s="19">
        <f t="shared" ref="E52:AD52" si="38">SUM(E57+E59+E61+E63+E65+E67+E69+E71+E73+E75+E77+E79+E81+E83)</f>
        <v>800</v>
      </c>
      <c r="F52" s="19">
        <f t="shared" si="38"/>
        <v>800</v>
      </c>
      <c r="G52" s="19">
        <f t="shared" si="38"/>
        <v>800</v>
      </c>
      <c r="H52" s="19">
        <f t="shared" si="38"/>
        <v>800</v>
      </c>
      <c r="I52" s="19">
        <f t="shared" si="38"/>
        <v>1150</v>
      </c>
      <c r="J52" s="19">
        <f t="shared" si="38"/>
        <v>999.99000000000012</v>
      </c>
      <c r="K52" s="19">
        <f t="shared" si="38"/>
        <v>966.66000000000008</v>
      </c>
      <c r="L52" s="19">
        <f t="shared" si="38"/>
        <v>1150</v>
      </c>
      <c r="M52" s="19">
        <f t="shared" si="38"/>
        <v>800</v>
      </c>
      <c r="N52" s="19">
        <f t="shared" si="38"/>
        <v>700</v>
      </c>
      <c r="O52" s="19">
        <f t="shared" si="38"/>
        <v>1300</v>
      </c>
      <c r="P52" s="19">
        <f t="shared" si="38"/>
        <v>766.66</v>
      </c>
      <c r="Q52" s="19">
        <f t="shared" si="38"/>
        <v>1000</v>
      </c>
      <c r="R52" s="19">
        <f t="shared" si="38"/>
        <v>800</v>
      </c>
      <c r="S52" s="19">
        <f t="shared" si="38"/>
        <v>800</v>
      </c>
      <c r="T52" s="19">
        <f t="shared" si="38"/>
        <v>800</v>
      </c>
      <c r="U52" s="19">
        <f t="shared" si="38"/>
        <v>800</v>
      </c>
      <c r="V52" s="19">
        <f>SUM(V57+V59+V61+V63+V65+V67+V69+V71+V73+V75+V77+V79+V81+V83)</f>
        <v>933.33</v>
      </c>
      <c r="W52" s="19">
        <f t="shared" si="38"/>
        <v>1200</v>
      </c>
      <c r="X52" s="19">
        <f t="shared" si="38"/>
        <v>800</v>
      </c>
      <c r="Y52" s="19">
        <f>SUM(Y57+Y59+Y61+Y63+Y65+Y67+Y69+Y71+Y73+Y75+Y77+Y79+Y81+Y83)</f>
        <v>800</v>
      </c>
      <c r="Z52" s="19">
        <f t="shared" si="38"/>
        <v>800</v>
      </c>
      <c r="AA52" s="19">
        <f t="shared" si="38"/>
        <v>1200</v>
      </c>
      <c r="AB52" s="19">
        <f t="shared" si="38"/>
        <v>1250</v>
      </c>
      <c r="AC52" s="19">
        <f t="shared" si="38"/>
        <v>700</v>
      </c>
      <c r="AD52" s="19">
        <f t="shared" si="38"/>
        <v>800</v>
      </c>
      <c r="AE52" s="19">
        <f>SUM(AE57+AE59+AE61+AE63+AE65+AE67+AE69+AE71+AE73+AE75+AE77+AE79+AE81+AE83)</f>
        <v>766.66</v>
      </c>
      <c r="AF52" s="36"/>
    </row>
    <row r="53" spans="1:34" ht="18" customHeight="1">
      <c r="B53" s="1"/>
      <c r="C53" s="22"/>
      <c r="D53" s="20">
        <f>D52/1400</f>
        <v>0.8214285714285714</v>
      </c>
      <c r="E53" s="20">
        <f t="shared" ref="E53:AE53" si="39">E52/1400</f>
        <v>0.5714285714285714</v>
      </c>
      <c r="F53" s="20">
        <f t="shared" si="39"/>
        <v>0.5714285714285714</v>
      </c>
      <c r="G53" s="20">
        <f t="shared" si="39"/>
        <v>0.5714285714285714</v>
      </c>
      <c r="H53" s="20">
        <f t="shared" si="39"/>
        <v>0.5714285714285714</v>
      </c>
      <c r="I53" s="20">
        <f t="shared" si="39"/>
        <v>0.8214285714285714</v>
      </c>
      <c r="J53" s="20">
        <f t="shared" si="39"/>
        <v>0.71427857142857154</v>
      </c>
      <c r="K53" s="20">
        <f t="shared" si="39"/>
        <v>0.69047142857142862</v>
      </c>
      <c r="L53" s="20">
        <f t="shared" si="39"/>
        <v>0.8214285714285714</v>
      </c>
      <c r="M53" s="20">
        <f t="shared" si="39"/>
        <v>0.5714285714285714</v>
      </c>
      <c r="N53" s="20">
        <f t="shared" si="39"/>
        <v>0.5</v>
      </c>
      <c r="O53" s="20">
        <f t="shared" si="39"/>
        <v>0.9285714285714286</v>
      </c>
      <c r="P53" s="20">
        <f t="shared" si="39"/>
        <v>0.54761428571428572</v>
      </c>
      <c r="Q53" s="20">
        <f t="shared" si="39"/>
        <v>0.7142857142857143</v>
      </c>
      <c r="R53" s="20">
        <f t="shared" si="39"/>
        <v>0.5714285714285714</v>
      </c>
      <c r="S53" s="20">
        <f t="shared" si="39"/>
        <v>0.5714285714285714</v>
      </c>
      <c r="T53" s="20">
        <f t="shared" si="39"/>
        <v>0.5714285714285714</v>
      </c>
      <c r="U53" s="20">
        <f t="shared" si="39"/>
        <v>0.5714285714285714</v>
      </c>
      <c r="V53" s="20">
        <f t="shared" si="39"/>
        <v>0.66666428571428571</v>
      </c>
      <c r="W53" s="20">
        <f>W52/1400</f>
        <v>0.8571428571428571</v>
      </c>
      <c r="X53" s="20">
        <f t="shared" si="39"/>
        <v>0.5714285714285714</v>
      </c>
      <c r="Y53" s="20">
        <f t="shared" si="39"/>
        <v>0.5714285714285714</v>
      </c>
      <c r="Z53" s="20">
        <f>Z52/1400</f>
        <v>0.5714285714285714</v>
      </c>
      <c r="AA53" s="20">
        <f t="shared" si="39"/>
        <v>0.8571428571428571</v>
      </c>
      <c r="AB53" s="20">
        <f t="shared" si="39"/>
        <v>0.8928571428571429</v>
      </c>
      <c r="AC53" s="20">
        <f t="shared" si="39"/>
        <v>0.5</v>
      </c>
      <c r="AD53" s="20">
        <f t="shared" si="39"/>
        <v>0.5714285714285714</v>
      </c>
      <c r="AE53" s="20">
        <f t="shared" si="39"/>
        <v>0.54761428571428572</v>
      </c>
      <c r="AF53" s="36"/>
    </row>
    <row r="54" spans="1:34" ht="6" customHeight="1">
      <c r="A54" s="9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</row>
    <row r="55" spans="1:34" ht="15">
      <c r="B55" s="73" t="s">
        <v>15</v>
      </c>
      <c r="C55" s="74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</row>
    <row r="56" spans="1:34" ht="43.5" customHeight="1">
      <c r="A56" s="15" t="str">
        <f>Instrumento!A27</f>
        <v>Q19</v>
      </c>
      <c r="B56" s="67" t="str">
        <f>Instrumento!B27</f>
        <v>Serviço de Informações ao Cidadão (SIC), como alternativa de encaminhamento de pedidos de acesso por meio de seus sítios oficiais na internet - (0 = para constatação de cumprimento ausente e 3 = para constatação de cumprimento forte) equivalente a Não ou Sim;</v>
      </c>
      <c r="C56" s="68"/>
      <c r="D56" s="48">
        <v>3</v>
      </c>
      <c r="E56" s="48">
        <v>3</v>
      </c>
      <c r="F56" s="48">
        <v>3</v>
      </c>
      <c r="G56" s="48">
        <v>3</v>
      </c>
      <c r="H56" s="48">
        <v>3</v>
      </c>
      <c r="I56" s="48">
        <v>3</v>
      </c>
      <c r="J56" s="48">
        <v>3</v>
      </c>
      <c r="K56" s="48">
        <v>3</v>
      </c>
      <c r="L56" s="48">
        <v>3</v>
      </c>
      <c r="M56" s="48">
        <v>3</v>
      </c>
      <c r="N56" s="48">
        <v>3</v>
      </c>
      <c r="O56" s="48">
        <v>3</v>
      </c>
      <c r="P56" s="48">
        <v>3</v>
      </c>
      <c r="Q56" s="48">
        <v>3</v>
      </c>
      <c r="R56" s="48">
        <v>3</v>
      </c>
      <c r="S56" s="48">
        <v>3</v>
      </c>
      <c r="T56" s="48">
        <v>3</v>
      </c>
      <c r="U56" s="48">
        <v>3</v>
      </c>
      <c r="V56" s="48">
        <v>3</v>
      </c>
      <c r="W56" s="48">
        <v>3</v>
      </c>
      <c r="X56" s="48">
        <v>3</v>
      </c>
      <c r="Y56" s="48">
        <v>3</v>
      </c>
      <c r="Z56" s="48">
        <v>3</v>
      </c>
      <c r="AA56" s="48">
        <v>3</v>
      </c>
      <c r="AB56" s="48">
        <v>3</v>
      </c>
      <c r="AC56" s="48">
        <v>3</v>
      </c>
      <c r="AD56" s="48">
        <v>3</v>
      </c>
      <c r="AE56" s="48">
        <v>3</v>
      </c>
      <c r="AF56" s="44">
        <f>(COUNTIF(D56:AE56,1)+COUNTIF(D56:AE56,2)+COUNTIF(D56:AE56,3)+COUNTIF(D56:AE56,"NS"))/28</f>
        <v>1</v>
      </c>
    </row>
    <row r="57" spans="1:34">
      <c r="A57" s="3"/>
      <c r="B57" s="23"/>
      <c r="C57" s="23"/>
      <c r="D57" s="13">
        <f t="shared" ref="D57:AE57" si="40">IF(D56=$A$90,$C$90,IF(D56=$A$91,$C$91,IF(D56=$A$92,$C$92,IF(D56=$A$93,$C$93,IF(D56="NS",100)))))</f>
        <v>100</v>
      </c>
      <c r="E57" s="13">
        <f t="shared" si="40"/>
        <v>100</v>
      </c>
      <c r="F57" s="13">
        <f t="shared" si="40"/>
        <v>100</v>
      </c>
      <c r="G57" s="13">
        <f t="shared" si="40"/>
        <v>100</v>
      </c>
      <c r="H57" s="13">
        <f t="shared" si="40"/>
        <v>100</v>
      </c>
      <c r="I57" s="13">
        <f t="shared" si="40"/>
        <v>100</v>
      </c>
      <c r="J57" s="13">
        <f t="shared" si="40"/>
        <v>100</v>
      </c>
      <c r="K57" s="13">
        <f t="shared" si="40"/>
        <v>100</v>
      </c>
      <c r="L57" s="13">
        <f t="shared" si="40"/>
        <v>100</v>
      </c>
      <c r="M57" s="13">
        <f t="shared" si="40"/>
        <v>100</v>
      </c>
      <c r="N57" s="13">
        <f t="shared" si="40"/>
        <v>100</v>
      </c>
      <c r="O57" s="13">
        <f t="shared" si="40"/>
        <v>100</v>
      </c>
      <c r="P57" s="13">
        <f t="shared" si="40"/>
        <v>100</v>
      </c>
      <c r="Q57" s="13">
        <f t="shared" si="40"/>
        <v>100</v>
      </c>
      <c r="R57" s="13">
        <f t="shared" si="40"/>
        <v>100</v>
      </c>
      <c r="S57" s="13">
        <f t="shared" si="40"/>
        <v>100</v>
      </c>
      <c r="T57" s="13">
        <f t="shared" si="40"/>
        <v>100</v>
      </c>
      <c r="U57" s="13">
        <f t="shared" si="40"/>
        <v>100</v>
      </c>
      <c r="V57" s="13">
        <f t="shared" si="40"/>
        <v>100</v>
      </c>
      <c r="W57" s="13">
        <f t="shared" si="40"/>
        <v>100</v>
      </c>
      <c r="X57" s="13">
        <f t="shared" si="40"/>
        <v>100</v>
      </c>
      <c r="Y57" s="13">
        <f t="shared" si="40"/>
        <v>100</v>
      </c>
      <c r="Z57" s="13">
        <f t="shared" si="40"/>
        <v>100</v>
      </c>
      <c r="AA57" s="13">
        <f t="shared" si="40"/>
        <v>100</v>
      </c>
      <c r="AB57" s="13">
        <f t="shared" si="40"/>
        <v>100</v>
      </c>
      <c r="AC57" s="13">
        <f t="shared" si="40"/>
        <v>100</v>
      </c>
      <c r="AD57" s="13">
        <f t="shared" si="40"/>
        <v>100</v>
      </c>
      <c r="AE57" s="13">
        <f t="shared" si="40"/>
        <v>100</v>
      </c>
      <c r="AF57" s="44">
        <f t="shared" si="5"/>
        <v>1</v>
      </c>
    </row>
    <row r="58" spans="1:34" ht="15" customHeight="1">
      <c r="A58" s="12" t="str">
        <f>Instrumento!A28</f>
        <v>Q20</v>
      </c>
      <c r="B58" s="63" t="str">
        <f>Instrumento!B28</f>
        <v>Receber e registrar pedidos de acesso à informação - (0 = para constatação de cumprimento ausente e 3 = para constatação de cumprimento forte) equivalente a Não ou Sim;</v>
      </c>
      <c r="C58" s="64"/>
      <c r="D58" s="47">
        <v>3</v>
      </c>
      <c r="E58" s="47">
        <v>3</v>
      </c>
      <c r="F58" s="47">
        <v>3</v>
      </c>
      <c r="G58" s="47">
        <v>3</v>
      </c>
      <c r="H58" s="47">
        <v>3</v>
      </c>
      <c r="I58" s="47">
        <v>3</v>
      </c>
      <c r="J58" s="47">
        <v>3</v>
      </c>
      <c r="K58" s="47">
        <v>3</v>
      </c>
      <c r="L58" s="47">
        <v>3</v>
      </c>
      <c r="M58" s="47">
        <v>3</v>
      </c>
      <c r="N58" s="47">
        <v>3</v>
      </c>
      <c r="O58" s="47">
        <v>3</v>
      </c>
      <c r="P58" s="47">
        <v>3</v>
      </c>
      <c r="Q58" s="47">
        <v>3</v>
      </c>
      <c r="R58" s="47">
        <v>3</v>
      </c>
      <c r="S58" s="47">
        <v>3</v>
      </c>
      <c r="T58" s="47">
        <v>3</v>
      </c>
      <c r="U58" s="47">
        <v>3</v>
      </c>
      <c r="V58" s="47">
        <v>3</v>
      </c>
      <c r="W58" s="47">
        <v>3</v>
      </c>
      <c r="X58" s="47">
        <v>3</v>
      </c>
      <c r="Y58" s="47">
        <v>3</v>
      </c>
      <c r="Z58" s="47">
        <v>3</v>
      </c>
      <c r="AA58" s="47">
        <v>3</v>
      </c>
      <c r="AB58" s="47">
        <v>3</v>
      </c>
      <c r="AC58" s="47">
        <v>3</v>
      </c>
      <c r="AD58" s="47">
        <v>3</v>
      </c>
      <c r="AE58" s="47">
        <v>3</v>
      </c>
      <c r="AF58" s="45">
        <f t="shared" ref="AF58" si="41">(COUNTIF(D58:AE58,1)+COUNTIF(D58:AE58,2)+COUNTIF(D58:AE58,3)+COUNTIF(D58:AE58,"NS"))/28</f>
        <v>1</v>
      </c>
    </row>
    <row r="59" spans="1:34">
      <c r="A59" s="3"/>
      <c r="B59" s="23"/>
      <c r="C59" s="23"/>
      <c r="D59" s="14">
        <f t="shared" ref="D59:AE59" si="42">IF(D58=$A$90,$C$90,IF(D58=$A$91,$C$91,IF(D58=$A$92,$C$92,IF(D58=$A$93,$C$93,IF(D58="NS",100)))))</f>
        <v>100</v>
      </c>
      <c r="E59" s="14">
        <f t="shared" si="42"/>
        <v>100</v>
      </c>
      <c r="F59" s="14">
        <f t="shared" si="42"/>
        <v>100</v>
      </c>
      <c r="G59" s="14">
        <f t="shared" si="42"/>
        <v>100</v>
      </c>
      <c r="H59" s="14">
        <f t="shared" si="42"/>
        <v>100</v>
      </c>
      <c r="I59" s="14">
        <f t="shared" si="42"/>
        <v>100</v>
      </c>
      <c r="J59" s="14">
        <f t="shared" si="42"/>
        <v>100</v>
      </c>
      <c r="K59" s="14">
        <f t="shared" si="42"/>
        <v>100</v>
      </c>
      <c r="L59" s="14">
        <f t="shared" si="42"/>
        <v>100</v>
      </c>
      <c r="M59" s="14">
        <f t="shared" si="42"/>
        <v>100</v>
      </c>
      <c r="N59" s="14">
        <f t="shared" si="42"/>
        <v>100</v>
      </c>
      <c r="O59" s="14">
        <f t="shared" si="42"/>
        <v>100</v>
      </c>
      <c r="P59" s="14">
        <f t="shared" si="42"/>
        <v>100</v>
      </c>
      <c r="Q59" s="14">
        <f t="shared" si="42"/>
        <v>100</v>
      </c>
      <c r="R59" s="14">
        <f t="shared" si="42"/>
        <v>100</v>
      </c>
      <c r="S59" s="14">
        <f t="shared" si="42"/>
        <v>100</v>
      </c>
      <c r="T59" s="14">
        <f t="shared" si="42"/>
        <v>100</v>
      </c>
      <c r="U59" s="14">
        <f t="shared" si="42"/>
        <v>100</v>
      </c>
      <c r="V59" s="14">
        <f t="shared" si="42"/>
        <v>100</v>
      </c>
      <c r="W59" s="14">
        <f t="shared" si="42"/>
        <v>100</v>
      </c>
      <c r="X59" s="14">
        <f t="shared" si="42"/>
        <v>100</v>
      </c>
      <c r="Y59" s="14">
        <f t="shared" si="42"/>
        <v>100</v>
      </c>
      <c r="Z59" s="14">
        <f t="shared" si="42"/>
        <v>100</v>
      </c>
      <c r="AA59" s="14">
        <f t="shared" si="42"/>
        <v>100</v>
      </c>
      <c r="AB59" s="14">
        <f t="shared" si="42"/>
        <v>100</v>
      </c>
      <c r="AC59" s="14">
        <f t="shared" si="42"/>
        <v>100</v>
      </c>
      <c r="AD59" s="14">
        <f t="shared" si="42"/>
        <v>100</v>
      </c>
      <c r="AE59" s="14">
        <f t="shared" si="42"/>
        <v>100</v>
      </c>
      <c r="AF59" s="45">
        <f t="shared" si="5"/>
        <v>1</v>
      </c>
    </row>
    <row r="60" spans="1:34" ht="29.25" customHeight="1">
      <c r="A60" s="15" t="str">
        <f>Instrumento!A29</f>
        <v>Q21</v>
      </c>
      <c r="B60" s="67" t="str">
        <f>Instrumento!B29</f>
        <v>Conceder, sempre que possível, acesso imediato à informação - (0 = para constatação de cumprimento ausente e 3 = para constatação de cumprimento forte) equivalente a Não ou Sim;</v>
      </c>
      <c r="C60" s="68"/>
      <c r="D60" s="48">
        <v>0</v>
      </c>
      <c r="E60" s="48">
        <v>0</v>
      </c>
      <c r="F60" s="48">
        <v>0</v>
      </c>
      <c r="G60" s="48">
        <v>0</v>
      </c>
      <c r="H60" s="48">
        <v>0</v>
      </c>
      <c r="I60" s="48">
        <v>0</v>
      </c>
      <c r="J60" s="48">
        <v>0</v>
      </c>
      <c r="K60" s="48">
        <v>0</v>
      </c>
      <c r="L60" s="48">
        <v>0</v>
      </c>
      <c r="M60" s="48">
        <v>0</v>
      </c>
      <c r="N60" s="48">
        <v>0</v>
      </c>
      <c r="O60" s="48">
        <v>0</v>
      </c>
      <c r="P60" s="48">
        <v>0</v>
      </c>
      <c r="Q60" s="48">
        <v>0</v>
      </c>
      <c r="R60" s="48">
        <v>0</v>
      </c>
      <c r="S60" s="48">
        <v>0</v>
      </c>
      <c r="T60" s="48">
        <v>0</v>
      </c>
      <c r="U60" s="48">
        <v>0</v>
      </c>
      <c r="V60" s="48">
        <v>0</v>
      </c>
      <c r="W60" s="48">
        <v>0</v>
      </c>
      <c r="X60" s="48">
        <v>0</v>
      </c>
      <c r="Y60" s="48">
        <v>0</v>
      </c>
      <c r="Z60" s="48">
        <v>0</v>
      </c>
      <c r="AA60" s="48">
        <v>0</v>
      </c>
      <c r="AB60" s="48">
        <v>0</v>
      </c>
      <c r="AC60" s="48">
        <v>0</v>
      </c>
      <c r="AD60" s="48">
        <v>0</v>
      </c>
      <c r="AE60" s="48">
        <v>0</v>
      </c>
      <c r="AF60" s="44">
        <f t="shared" ref="AF60" si="43">(COUNTIF(D60:AE60,1)+COUNTIF(D60:AE60,2)+COUNTIF(D60:AE60,3)+COUNTIF(D60:AE60,"NS"))/28</f>
        <v>0</v>
      </c>
    </row>
    <row r="61" spans="1:34">
      <c r="A61" s="3"/>
      <c r="B61" s="23"/>
      <c r="C61" s="23"/>
      <c r="D61" s="13">
        <f t="shared" ref="D61:AE61" si="44">IF(D60=$A$90,$C$90,IF(D60=$A$91,$C$91,IF(D60=$A$92,$C$92,IF(D60=$A$93,$C$93,IF(D60="NS",100)))))</f>
        <v>0</v>
      </c>
      <c r="E61" s="13">
        <f t="shared" si="44"/>
        <v>0</v>
      </c>
      <c r="F61" s="13">
        <f t="shared" si="44"/>
        <v>0</v>
      </c>
      <c r="G61" s="13">
        <f t="shared" si="44"/>
        <v>0</v>
      </c>
      <c r="H61" s="13">
        <f t="shared" si="44"/>
        <v>0</v>
      </c>
      <c r="I61" s="13">
        <f t="shared" si="44"/>
        <v>0</v>
      </c>
      <c r="J61" s="13">
        <f t="shared" si="44"/>
        <v>0</v>
      </c>
      <c r="K61" s="13">
        <f t="shared" si="44"/>
        <v>0</v>
      </c>
      <c r="L61" s="13">
        <f t="shared" si="44"/>
        <v>0</v>
      </c>
      <c r="M61" s="13">
        <f t="shared" si="44"/>
        <v>0</v>
      </c>
      <c r="N61" s="13">
        <f t="shared" si="44"/>
        <v>0</v>
      </c>
      <c r="O61" s="13">
        <f t="shared" si="44"/>
        <v>0</v>
      </c>
      <c r="P61" s="13">
        <f t="shared" si="44"/>
        <v>0</v>
      </c>
      <c r="Q61" s="13">
        <f t="shared" si="44"/>
        <v>0</v>
      </c>
      <c r="R61" s="13">
        <f t="shared" si="44"/>
        <v>0</v>
      </c>
      <c r="S61" s="13">
        <f t="shared" si="44"/>
        <v>0</v>
      </c>
      <c r="T61" s="13">
        <f t="shared" si="44"/>
        <v>0</v>
      </c>
      <c r="U61" s="13">
        <f t="shared" si="44"/>
        <v>0</v>
      </c>
      <c r="V61" s="13">
        <f t="shared" si="44"/>
        <v>0</v>
      </c>
      <c r="W61" s="13">
        <f t="shared" si="44"/>
        <v>0</v>
      </c>
      <c r="X61" s="13">
        <f t="shared" si="44"/>
        <v>0</v>
      </c>
      <c r="Y61" s="13">
        <f t="shared" si="44"/>
        <v>0</v>
      </c>
      <c r="Z61" s="13">
        <f t="shared" si="44"/>
        <v>0</v>
      </c>
      <c r="AA61" s="13">
        <f t="shared" si="44"/>
        <v>0</v>
      </c>
      <c r="AB61" s="13">
        <f t="shared" si="44"/>
        <v>0</v>
      </c>
      <c r="AC61" s="13">
        <f t="shared" si="44"/>
        <v>0</v>
      </c>
      <c r="AD61" s="13">
        <f t="shared" si="44"/>
        <v>0</v>
      </c>
      <c r="AE61" s="13">
        <f t="shared" si="44"/>
        <v>0</v>
      </c>
      <c r="AF61" s="44">
        <f>SUM(D61:AE61)/2800</f>
        <v>0</v>
      </c>
    </row>
    <row r="62" spans="1:34" ht="66" customHeight="1">
      <c r="A62" s="12" t="str">
        <f>Instrumento!A30</f>
        <v>Q22</v>
      </c>
      <c r="B62" s="63" t="str">
        <f>Instrumento!B30</f>
        <v>Conceder aceso à informação em prazo não superior a 20 dias - não sendo possível conceder o acesso imediato, deverá ocorrer, em prazo não superior a 20 dias - (0 = para constatação ausência de qualquer resposta, 1 = para constatação de resposta após o prazo de 20 dias e 3 = para constatação resposta no prazo de 20 dias);</v>
      </c>
      <c r="C62" s="64"/>
      <c r="D62" s="47">
        <v>3</v>
      </c>
      <c r="E62" s="47">
        <v>0</v>
      </c>
      <c r="F62" s="47">
        <v>0</v>
      </c>
      <c r="G62" s="47">
        <v>0</v>
      </c>
      <c r="H62" s="47">
        <v>0</v>
      </c>
      <c r="I62" s="47">
        <v>3</v>
      </c>
      <c r="J62" s="47">
        <v>3</v>
      </c>
      <c r="K62" s="47">
        <v>3</v>
      </c>
      <c r="L62" s="47">
        <v>3</v>
      </c>
      <c r="M62" s="47">
        <v>0</v>
      </c>
      <c r="N62" s="47">
        <v>0</v>
      </c>
      <c r="O62" s="47">
        <v>3</v>
      </c>
      <c r="P62" s="47">
        <v>1</v>
      </c>
      <c r="Q62" s="47">
        <v>3</v>
      </c>
      <c r="R62" s="47">
        <v>0</v>
      </c>
      <c r="S62" s="47">
        <v>0</v>
      </c>
      <c r="T62" s="47">
        <v>0</v>
      </c>
      <c r="U62" s="47">
        <v>0</v>
      </c>
      <c r="V62" s="47">
        <v>3</v>
      </c>
      <c r="W62" s="47">
        <v>3</v>
      </c>
      <c r="X62" s="47">
        <v>0</v>
      </c>
      <c r="Y62" s="47">
        <v>0</v>
      </c>
      <c r="Z62" s="47">
        <v>0</v>
      </c>
      <c r="AA62" s="47">
        <v>3</v>
      </c>
      <c r="AB62" s="47">
        <v>3</v>
      </c>
      <c r="AC62" s="47">
        <v>0</v>
      </c>
      <c r="AD62" s="47">
        <v>0</v>
      </c>
      <c r="AE62" s="47">
        <v>1</v>
      </c>
      <c r="AF62" s="45">
        <f t="shared" ref="AF62" si="45">(COUNTIF(D62:AE62,1)+COUNTIF(D62:AE62,2)+COUNTIF(D62:AE62,3)+COUNTIF(D62:AE62,"NS"))/28</f>
        <v>0.4642857142857143</v>
      </c>
    </row>
    <row r="63" spans="1:34">
      <c r="A63" s="3"/>
      <c r="B63" s="23"/>
      <c r="C63" s="23"/>
      <c r="D63" s="14">
        <f t="shared" ref="D63:AE63" si="46">IF(D62=$A$90,$C$90,IF(D62=$A$91,$C$91,IF(D62=$A$92,$C$92,IF(D62=$A$93,$C$93,IF(D62="NS",100)))))</f>
        <v>100</v>
      </c>
      <c r="E63" s="14">
        <f t="shared" si="46"/>
        <v>0</v>
      </c>
      <c r="F63" s="14">
        <f t="shared" si="46"/>
        <v>0</v>
      </c>
      <c r="G63" s="14">
        <f t="shared" si="46"/>
        <v>0</v>
      </c>
      <c r="H63" s="14">
        <f t="shared" si="46"/>
        <v>0</v>
      </c>
      <c r="I63" s="14">
        <f t="shared" si="46"/>
        <v>100</v>
      </c>
      <c r="J63" s="14">
        <f t="shared" si="46"/>
        <v>100</v>
      </c>
      <c r="K63" s="14">
        <f t="shared" si="46"/>
        <v>100</v>
      </c>
      <c r="L63" s="14">
        <f t="shared" si="46"/>
        <v>100</v>
      </c>
      <c r="M63" s="14">
        <f t="shared" si="46"/>
        <v>0</v>
      </c>
      <c r="N63" s="14">
        <f t="shared" si="46"/>
        <v>0</v>
      </c>
      <c r="O63" s="14">
        <f t="shared" si="46"/>
        <v>100</v>
      </c>
      <c r="P63" s="14">
        <f t="shared" si="46"/>
        <v>33.33</v>
      </c>
      <c r="Q63" s="14">
        <f t="shared" si="46"/>
        <v>100</v>
      </c>
      <c r="R63" s="14">
        <f t="shared" si="46"/>
        <v>0</v>
      </c>
      <c r="S63" s="14">
        <f t="shared" si="46"/>
        <v>0</v>
      </c>
      <c r="T63" s="14">
        <f t="shared" si="46"/>
        <v>0</v>
      </c>
      <c r="U63" s="14">
        <f t="shared" si="46"/>
        <v>0</v>
      </c>
      <c r="V63" s="14">
        <f t="shared" si="46"/>
        <v>100</v>
      </c>
      <c r="W63" s="14">
        <f t="shared" si="46"/>
        <v>100</v>
      </c>
      <c r="X63" s="14">
        <f t="shared" si="46"/>
        <v>0</v>
      </c>
      <c r="Y63" s="14">
        <f t="shared" si="46"/>
        <v>0</v>
      </c>
      <c r="Z63" s="14">
        <f t="shared" si="46"/>
        <v>0</v>
      </c>
      <c r="AA63" s="14">
        <f t="shared" si="46"/>
        <v>100</v>
      </c>
      <c r="AB63" s="14">
        <f t="shared" si="46"/>
        <v>100</v>
      </c>
      <c r="AC63" s="14">
        <f t="shared" si="46"/>
        <v>0</v>
      </c>
      <c r="AD63" s="14">
        <f t="shared" si="46"/>
        <v>0</v>
      </c>
      <c r="AE63" s="14">
        <f t="shared" si="46"/>
        <v>33.33</v>
      </c>
      <c r="AF63" s="45">
        <f t="shared" si="5"/>
        <v>0.41666428571428565</v>
      </c>
    </row>
    <row r="64" spans="1:34" ht="72" customHeight="1">
      <c r="A64" s="15" t="str">
        <f>Instrumento!A31</f>
        <v>Q23</v>
      </c>
      <c r="B64" s="65" t="str">
        <f>Instrumento!B31</f>
        <v>Prorrogação do prazo para resposta do pedido por dez dias, mediante justificativa encaminhada ao requerente antes do término do prazo inicial de vinte dias - (0 = para constatação de cumprimento ausente, 3 = para constatação de cumprimento forte e NS = para os casos em que houve resposta imediata ou dentro do prazo de 20 dias);</v>
      </c>
      <c r="C64" s="66"/>
      <c r="D64" s="48" t="s">
        <v>58</v>
      </c>
      <c r="E64" s="48" t="s">
        <v>58</v>
      </c>
      <c r="F64" s="48" t="s">
        <v>58</v>
      </c>
      <c r="G64" s="48" t="s">
        <v>58</v>
      </c>
      <c r="H64" s="48" t="s">
        <v>58</v>
      </c>
      <c r="I64" s="48" t="s">
        <v>58</v>
      </c>
      <c r="J64" s="48" t="s">
        <v>58</v>
      </c>
      <c r="K64" s="48" t="s">
        <v>58</v>
      </c>
      <c r="L64" s="48" t="s">
        <v>58</v>
      </c>
      <c r="M64" s="48" t="s">
        <v>58</v>
      </c>
      <c r="N64" s="48" t="s">
        <v>58</v>
      </c>
      <c r="O64" s="48" t="s">
        <v>58</v>
      </c>
      <c r="P64" s="48">
        <v>0</v>
      </c>
      <c r="Q64" s="48" t="s">
        <v>58</v>
      </c>
      <c r="R64" s="48" t="s">
        <v>58</v>
      </c>
      <c r="S64" s="48" t="s">
        <v>58</v>
      </c>
      <c r="T64" s="48" t="s">
        <v>58</v>
      </c>
      <c r="U64" s="48" t="s">
        <v>58</v>
      </c>
      <c r="V64" s="48" t="s">
        <v>58</v>
      </c>
      <c r="W64" s="48" t="s">
        <v>58</v>
      </c>
      <c r="X64" s="48" t="s">
        <v>58</v>
      </c>
      <c r="Y64" s="48" t="s">
        <v>58</v>
      </c>
      <c r="Z64" s="48" t="s">
        <v>58</v>
      </c>
      <c r="AA64" s="48" t="s">
        <v>58</v>
      </c>
      <c r="AB64" s="48" t="s">
        <v>58</v>
      </c>
      <c r="AC64" s="48" t="s">
        <v>58</v>
      </c>
      <c r="AD64" s="48" t="s">
        <v>58</v>
      </c>
      <c r="AE64" s="48">
        <v>0</v>
      </c>
      <c r="AF64" s="44">
        <f t="shared" ref="AF64" si="47">(COUNTIF(D64:AE64,1)+COUNTIF(D64:AE64,2)+COUNTIF(D64:AE64,3)+COUNTIF(D64:AE64,"NS"))/28</f>
        <v>0.9285714285714286</v>
      </c>
    </row>
    <row r="65" spans="1:32">
      <c r="A65" s="3"/>
      <c r="B65" s="23"/>
      <c r="C65" s="23"/>
      <c r="D65" s="13">
        <f>IF(AND(D62=0,D64="0"),0,IF(AND(D62=3,D64="NS"),100,IF(AND(D62=1,D64="3"),100,IF(AND(D62=1,D64="0"),0))))</f>
        <v>100</v>
      </c>
      <c r="E65" s="13">
        <f t="shared" ref="E65:AE65" si="48">IF(E64=$A$90,$C$90,IF(E64=$A$91,$C$91,IF(E64=$A$92,$C$92,IF(E64=$A$93,$C$93,IF(E64="NS",100)))))</f>
        <v>100</v>
      </c>
      <c r="F65" s="13">
        <f t="shared" si="48"/>
        <v>100</v>
      </c>
      <c r="G65" s="13">
        <f t="shared" si="48"/>
        <v>100</v>
      </c>
      <c r="H65" s="13">
        <f t="shared" si="48"/>
        <v>100</v>
      </c>
      <c r="I65" s="13">
        <f t="shared" si="48"/>
        <v>100</v>
      </c>
      <c r="J65" s="13">
        <f t="shared" si="48"/>
        <v>100</v>
      </c>
      <c r="K65" s="13">
        <f t="shared" si="48"/>
        <v>100</v>
      </c>
      <c r="L65" s="13">
        <f t="shared" si="48"/>
        <v>100</v>
      </c>
      <c r="M65" s="13">
        <f t="shared" si="48"/>
        <v>100</v>
      </c>
      <c r="N65" s="13">
        <f t="shared" si="48"/>
        <v>100</v>
      </c>
      <c r="O65" s="13">
        <f t="shared" si="48"/>
        <v>100</v>
      </c>
      <c r="P65" s="13">
        <f t="shared" si="48"/>
        <v>0</v>
      </c>
      <c r="Q65" s="13">
        <f t="shared" si="48"/>
        <v>100</v>
      </c>
      <c r="R65" s="13">
        <f t="shared" si="48"/>
        <v>100</v>
      </c>
      <c r="S65" s="13">
        <f t="shared" si="48"/>
        <v>100</v>
      </c>
      <c r="T65" s="13">
        <f t="shared" si="48"/>
        <v>100</v>
      </c>
      <c r="U65" s="13">
        <f t="shared" si="48"/>
        <v>100</v>
      </c>
      <c r="V65" s="13">
        <f t="shared" si="48"/>
        <v>100</v>
      </c>
      <c r="W65" s="13">
        <f t="shared" si="48"/>
        <v>100</v>
      </c>
      <c r="X65" s="13">
        <f t="shared" si="48"/>
        <v>100</v>
      </c>
      <c r="Y65" s="13">
        <f t="shared" si="48"/>
        <v>100</v>
      </c>
      <c r="Z65" s="13">
        <f t="shared" si="48"/>
        <v>100</v>
      </c>
      <c r="AA65" s="13">
        <f t="shared" si="48"/>
        <v>100</v>
      </c>
      <c r="AB65" s="13">
        <f t="shared" si="48"/>
        <v>100</v>
      </c>
      <c r="AC65" s="13">
        <f t="shared" si="48"/>
        <v>100</v>
      </c>
      <c r="AD65" s="13">
        <f t="shared" si="48"/>
        <v>100</v>
      </c>
      <c r="AE65" s="13">
        <f t="shared" si="48"/>
        <v>0</v>
      </c>
      <c r="AF65" s="44">
        <f t="shared" si="5"/>
        <v>0.9285714285714286</v>
      </c>
    </row>
    <row r="66" spans="1:32" ht="30" customHeight="1">
      <c r="A66" s="12" t="str">
        <f>Instrumento!A32</f>
        <v>Q24</v>
      </c>
      <c r="B66" s="63" t="str">
        <f>Instrumento!B32</f>
        <v>Registro do pedido de acesso em sistema eletrônico específico e entrega do número do protocolo contendo a data de apresentação do pedido;</v>
      </c>
      <c r="C66" s="64"/>
      <c r="D66" s="47">
        <v>3</v>
      </c>
      <c r="E66" s="47">
        <v>3</v>
      </c>
      <c r="F66" s="47">
        <v>3</v>
      </c>
      <c r="G66" s="47">
        <v>3</v>
      </c>
      <c r="H66" s="47">
        <v>3</v>
      </c>
      <c r="I66" s="47">
        <v>3</v>
      </c>
      <c r="J66" s="47">
        <v>3</v>
      </c>
      <c r="K66" s="47">
        <v>3</v>
      </c>
      <c r="L66" s="47">
        <v>3</v>
      </c>
      <c r="M66" s="47">
        <v>3</v>
      </c>
      <c r="N66" s="47">
        <v>3</v>
      </c>
      <c r="O66" s="47">
        <v>3</v>
      </c>
      <c r="P66" s="47">
        <v>3</v>
      </c>
      <c r="Q66" s="47">
        <v>3</v>
      </c>
      <c r="R66" s="47">
        <v>3</v>
      </c>
      <c r="S66" s="47">
        <v>3</v>
      </c>
      <c r="T66" s="47">
        <v>3</v>
      </c>
      <c r="U66" s="47">
        <v>3</v>
      </c>
      <c r="V66" s="47">
        <v>3</v>
      </c>
      <c r="W66" s="47">
        <v>3</v>
      </c>
      <c r="X66" s="47">
        <v>3</v>
      </c>
      <c r="Y66" s="47">
        <v>3</v>
      </c>
      <c r="Z66" s="47">
        <v>3</v>
      </c>
      <c r="AA66" s="47">
        <v>3</v>
      </c>
      <c r="AB66" s="47">
        <v>3</v>
      </c>
      <c r="AC66" s="47">
        <v>3</v>
      </c>
      <c r="AD66" s="47">
        <v>3</v>
      </c>
      <c r="AE66" s="47">
        <v>3</v>
      </c>
      <c r="AF66" s="45">
        <f t="shared" ref="AF66" si="49">(COUNTIF(D66:AE66,1)+COUNTIF(D66:AE66,2)+COUNTIF(D66:AE66,3)+COUNTIF(D66:AE66,"NS"))/28</f>
        <v>1</v>
      </c>
    </row>
    <row r="67" spans="1:32">
      <c r="A67" s="3"/>
      <c r="B67" s="23"/>
      <c r="C67" s="23"/>
      <c r="D67" s="14">
        <f t="shared" ref="D67:AE67" si="50">IF(D66=$A$90,$C$90,IF(D66=$A$91,$C$91,IF(D66=$A$92,$C$92,IF(D66=$A$93,$C$93,IF(D66="NS",100)))))</f>
        <v>100</v>
      </c>
      <c r="E67" s="14">
        <f t="shared" si="50"/>
        <v>100</v>
      </c>
      <c r="F67" s="14">
        <f t="shared" si="50"/>
        <v>100</v>
      </c>
      <c r="G67" s="14">
        <f t="shared" si="50"/>
        <v>100</v>
      </c>
      <c r="H67" s="14">
        <f t="shared" si="50"/>
        <v>100</v>
      </c>
      <c r="I67" s="14">
        <f t="shared" si="50"/>
        <v>100</v>
      </c>
      <c r="J67" s="14">
        <f t="shared" si="50"/>
        <v>100</v>
      </c>
      <c r="K67" s="14">
        <f t="shared" si="50"/>
        <v>100</v>
      </c>
      <c r="L67" s="14">
        <f t="shared" si="50"/>
        <v>100</v>
      </c>
      <c r="M67" s="14">
        <f t="shared" si="50"/>
        <v>100</v>
      </c>
      <c r="N67" s="14">
        <f t="shared" si="50"/>
        <v>100</v>
      </c>
      <c r="O67" s="14">
        <f t="shared" si="50"/>
        <v>100</v>
      </c>
      <c r="P67" s="14">
        <f t="shared" si="50"/>
        <v>100</v>
      </c>
      <c r="Q67" s="14">
        <f t="shared" si="50"/>
        <v>100</v>
      </c>
      <c r="R67" s="14">
        <f t="shared" si="50"/>
        <v>100</v>
      </c>
      <c r="S67" s="14">
        <f t="shared" si="50"/>
        <v>100</v>
      </c>
      <c r="T67" s="14">
        <f t="shared" si="50"/>
        <v>100</v>
      </c>
      <c r="U67" s="14">
        <f t="shared" si="50"/>
        <v>100</v>
      </c>
      <c r="V67" s="14">
        <f t="shared" si="50"/>
        <v>100</v>
      </c>
      <c r="W67" s="14">
        <f t="shared" si="50"/>
        <v>100</v>
      </c>
      <c r="X67" s="14">
        <f t="shared" si="50"/>
        <v>100</v>
      </c>
      <c r="Y67" s="14">
        <f t="shared" si="50"/>
        <v>100</v>
      </c>
      <c r="Z67" s="14">
        <f t="shared" si="50"/>
        <v>100</v>
      </c>
      <c r="AA67" s="14">
        <f t="shared" si="50"/>
        <v>100</v>
      </c>
      <c r="AB67" s="14">
        <f t="shared" si="50"/>
        <v>100</v>
      </c>
      <c r="AC67" s="14">
        <f t="shared" si="50"/>
        <v>100</v>
      </c>
      <c r="AD67" s="14">
        <f t="shared" si="50"/>
        <v>100</v>
      </c>
      <c r="AE67" s="14">
        <f t="shared" si="50"/>
        <v>100</v>
      </c>
      <c r="AF67" s="45">
        <f t="shared" si="5"/>
        <v>1</v>
      </c>
    </row>
    <row r="68" spans="1:32" ht="29.25" customHeight="1">
      <c r="A68" s="15" t="str">
        <f>Instrumento!A33</f>
        <v>Q25</v>
      </c>
      <c r="B68" s="67" t="str">
        <f>Instrumento!B33</f>
        <v>Envio ao requerente comunicação com o número de protocolo e a data do recebimento do pedido pelo SIC - (0 = para constatação de cumprimento ausente e 3 = para constatação de cumprimento forte) equivalente a Não ou Sim;</v>
      </c>
      <c r="C68" s="68"/>
      <c r="D68" s="48">
        <v>3</v>
      </c>
      <c r="E68" s="48">
        <v>3</v>
      </c>
      <c r="F68" s="48">
        <v>3</v>
      </c>
      <c r="G68" s="48">
        <v>3</v>
      </c>
      <c r="H68" s="48">
        <v>3</v>
      </c>
      <c r="I68" s="48">
        <v>3</v>
      </c>
      <c r="J68" s="48">
        <v>3</v>
      </c>
      <c r="K68" s="48">
        <v>3</v>
      </c>
      <c r="L68" s="48">
        <v>3</v>
      </c>
      <c r="M68" s="48">
        <v>3</v>
      </c>
      <c r="N68" s="48">
        <v>3</v>
      </c>
      <c r="O68" s="48">
        <v>3</v>
      </c>
      <c r="P68" s="48">
        <v>3</v>
      </c>
      <c r="Q68" s="48">
        <v>3</v>
      </c>
      <c r="R68" s="48">
        <v>3</v>
      </c>
      <c r="S68" s="48">
        <v>3</v>
      </c>
      <c r="T68" s="48">
        <v>3</v>
      </c>
      <c r="U68" s="48">
        <v>3</v>
      </c>
      <c r="V68" s="48">
        <v>3</v>
      </c>
      <c r="W68" s="48">
        <v>3</v>
      </c>
      <c r="X68" s="48">
        <v>3</v>
      </c>
      <c r="Y68" s="48">
        <v>3</v>
      </c>
      <c r="Z68" s="48">
        <v>3</v>
      </c>
      <c r="AA68" s="48">
        <v>3</v>
      </c>
      <c r="AB68" s="48">
        <v>3</v>
      </c>
      <c r="AC68" s="48">
        <v>3</v>
      </c>
      <c r="AD68" s="48">
        <v>3</v>
      </c>
      <c r="AE68" s="48">
        <v>3</v>
      </c>
      <c r="AF68" s="44">
        <f t="shared" ref="AF68" si="51">(COUNTIF(D68:AE68,1)+COUNTIF(D68:AE68,2)+COUNTIF(D68:AE68,3)+COUNTIF(D68:AE68,"NS"))/28</f>
        <v>1</v>
      </c>
    </row>
    <row r="69" spans="1:32">
      <c r="A69" s="3"/>
      <c r="B69" s="23"/>
      <c r="C69" s="23"/>
      <c r="D69" s="13">
        <f t="shared" ref="D69:AE69" si="52">IF(D68=$A$90,$C$90,IF(D68=$A$91,$C$91,IF(D68=$A$92,$C$92,IF(D68=$A$93,$C$93,IF(D68="NS",100)))))</f>
        <v>100</v>
      </c>
      <c r="E69" s="13">
        <f t="shared" si="52"/>
        <v>100</v>
      </c>
      <c r="F69" s="13">
        <f t="shared" si="52"/>
        <v>100</v>
      </c>
      <c r="G69" s="13">
        <f t="shared" si="52"/>
        <v>100</v>
      </c>
      <c r="H69" s="13">
        <f t="shared" si="52"/>
        <v>100</v>
      </c>
      <c r="I69" s="13">
        <f t="shared" si="52"/>
        <v>100</v>
      </c>
      <c r="J69" s="13">
        <f t="shared" si="52"/>
        <v>100</v>
      </c>
      <c r="K69" s="13">
        <f t="shared" si="52"/>
        <v>100</v>
      </c>
      <c r="L69" s="13">
        <f t="shared" si="52"/>
        <v>100</v>
      </c>
      <c r="M69" s="13">
        <f t="shared" si="52"/>
        <v>100</v>
      </c>
      <c r="N69" s="13">
        <f t="shared" si="52"/>
        <v>100</v>
      </c>
      <c r="O69" s="13">
        <f t="shared" si="52"/>
        <v>100</v>
      </c>
      <c r="P69" s="13">
        <f t="shared" si="52"/>
        <v>100</v>
      </c>
      <c r="Q69" s="13">
        <f t="shared" si="52"/>
        <v>100</v>
      </c>
      <c r="R69" s="13">
        <f t="shared" si="52"/>
        <v>100</v>
      </c>
      <c r="S69" s="13">
        <f t="shared" si="52"/>
        <v>100</v>
      </c>
      <c r="T69" s="13">
        <f t="shared" si="52"/>
        <v>100</v>
      </c>
      <c r="U69" s="13">
        <f t="shared" si="52"/>
        <v>100</v>
      </c>
      <c r="V69" s="13">
        <f t="shared" si="52"/>
        <v>100</v>
      </c>
      <c r="W69" s="13">
        <f t="shared" si="52"/>
        <v>100</v>
      </c>
      <c r="X69" s="13">
        <f t="shared" si="52"/>
        <v>100</v>
      </c>
      <c r="Y69" s="13">
        <f t="shared" si="52"/>
        <v>100</v>
      </c>
      <c r="Z69" s="13">
        <f t="shared" si="52"/>
        <v>100</v>
      </c>
      <c r="AA69" s="13">
        <f t="shared" si="52"/>
        <v>100</v>
      </c>
      <c r="AB69" s="13">
        <f t="shared" si="52"/>
        <v>100</v>
      </c>
      <c r="AC69" s="13">
        <f t="shared" si="52"/>
        <v>100</v>
      </c>
      <c r="AD69" s="13">
        <f t="shared" si="52"/>
        <v>100</v>
      </c>
      <c r="AE69" s="13">
        <f t="shared" si="52"/>
        <v>100</v>
      </c>
      <c r="AF69" s="44">
        <f t="shared" si="5"/>
        <v>1</v>
      </c>
    </row>
    <row r="70" spans="1:32" ht="29.25" customHeight="1">
      <c r="A70" s="12" t="str">
        <f>Instrumento!A34</f>
        <v>Q26</v>
      </c>
      <c r="B70" s="63" t="str">
        <f>Instrumento!B34</f>
        <v>Ausência de exigências relativas aos motivos do pedido de acesso à informação - (0 = para constatação de cumprimento ausente e 3 = para constatação de cumprimento forte) equivalente a Não ou Sim;</v>
      </c>
      <c r="C70" s="64"/>
      <c r="D70" s="47">
        <v>3</v>
      </c>
      <c r="E70" s="47">
        <v>3</v>
      </c>
      <c r="F70" s="47">
        <v>3</v>
      </c>
      <c r="G70" s="47">
        <v>3</v>
      </c>
      <c r="H70" s="47">
        <v>3</v>
      </c>
      <c r="I70" s="47">
        <v>3</v>
      </c>
      <c r="J70" s="47">
        <v>3</v>
      </c>
      <c r="K70" s="47">
        <v>3</v>
      </c>
      <c r="L70" s="47">
        <v>3</v>
      </c>
      <c r="M70" s="47">
        <v>3</v>
      </c>
      <c r="N70" s="47">
        <v>0</v>
      </c>
      <c r="O70" s="47">
        <v>3</v>
      </c>
      <c r="P70" s="47">
        <v>3</v>
      </c>
      <c r="Q70" s="47">
        <v>3</v>
      </c>
      <c r="R70" s="47">
        <v>3</v>
      </c>
      <c r="S70" s="47">
        <v>3</v>
      </c>
      <c r="T70" s="47">
        <v>3</v>
      </c>
      <c r="U70" s="47">
        <v>3</v>
      </c>
      <c r="V70" s="47">
        <v>3</v>
      </c>
      <c r="W70" s="47">
        <v>3</v>
      </c>
      <c r="X70" s="47">
        <v>3</v>
      </c>
      <c r="Y70" s="47">
        <v>3</v>
      </c>
      <c r="Z70" s="47">
        <v>3</v>
      </c>
      <c r="AA70" s="47">
        <v>3</v>
      </c>
      <c r="AB70" s="47">
        <v>3</v>
      </c>
      <c r="AC70" s="47">
        <v>0</v>
      </c>
      <c r="AD70" s="47">
        <v>3</v>
      </c>
      <c r="AE70" s="47">
        <v>3</v>
      </c>
      <c r="AF70" s="45">
        <f t="shared" ref="AF70" si="53">(COUNTIF(D70:AE70,1)+COUNTIF(D70:AE70,2)+COUNTIF(D70:AE70,3)+COUNTIF(D70:AE70,"NS"))/28</f>
        <v>0.9285714285714286</v>
      </c>
    </row>
    <row r="71" spans="1:32">
      <c r="A71" s="3"/>
      <c r="B71" s="23"/>
      <c r="C71" s="23"/>
      <c r="D71" s="14">
        <f t="shared" ref="D71:AE71" si="54">IF(D70=$A$90,$C$90,IF(D70=$A$91,$C$91,IF(D70=$A$92,$C$92,IF(D70=$A$93,$C$93,IF(D70="NS",100)))))</f>
        <v>100</v>
      </c>
      <c r="E71" s="14">
        <f t="shared" si="54"/>
        <v>100</v>
      </c>
      <c r="F71" s="14">
        <f t="shared" si="54"/>
        <v>100</v>
      </c>
      <c r="G71" s="14">
        <f t="shared" si="54"/>
        <v>100</v>
      </c>
      <c r="H71" s="14">
        <f t="shared" si="54"/>
        <v>100</v>
      </c>
      <c r="I71" s="14">
        <f t="shared" si="54"/>
        <v>100</v>
      </c>
      <c r="J71" s="14">
        <f t="shared" si="54"/>
        <v>100</v>
      </c>
      <c r="K71" s="14">
        <f t="shared" si="54"/>
        <v>100</v>
      </c>
      <c r="L71" s="14">
        <f t="shared" si="54"/>
        <v>100</v>
      </c>
      <c r="M71" s="14">
        <f t="shared" si="54"/>
        <v>100</v>
      </c>
      <c r="N71" s="14">
        <f t="shared" si="54"/>
        <v>0</v>
      </c>
      <c r="O71" s="14">
        <f t="shared" si="54"/>
        <v>100</v>
      </c>
      <c r="P71" s="14">
        <f t="shared" si="54"/>
        <v>100</v>
      </c>
      <c r="Q71" s="14">
        <f t="shared" si="54"/>
        <v>100</v>
      </c>
      <c r="R71" s="14">
        <f t="shared" si="54"/>
        <v>100</v>
      </c>
      <c r="S71" s="14">
        <f t="shared" si="54"/>
        <v>100</v>
      </c>
      <c r="T71" s="14">
        <f t="shared" si="54"/>
        <v>100</v>
      </c>
      <c r="U71" s="14">
        <f t="shared" si="54"/>
        <v>100</v>
      </c>
      <c r="V71" s="14">
        <f t="shared" si="54"/>
        <v>100</v>
      </c>
      <c r="W71" s="14">
        <f t="shared" si="54"/>
        <v>100</v>
      </c>
      <c r="X71" s="14">
        <f t="shared" si="54"/>
        <v>100</v>
      </c>
      <c r="Y71" s="14">
        <f t="shared" si="54"/>
        <v>100</v>
      </c>
      <c r="Z71" s="14">
        <f t="shared" si="54"/>
        <v>100</v>
      </c>
      <c r="AA71" s="14">
        <f t="shared" si="54"/>
        <v>100</v>
      </c>
      <c r="AB71" s="14">
        <f t="shared" si="54"/>
        <v>100</v>
      </c>
      <c r="AC71" s="14">
        <f t="shared" si="54"/>
        <v>0</v>
      </c>
      <c r="AD71" s="14">
        <f t="shared" si="54"/>
        <v>100</v>
      </c>
      <c r="AE71" s="14">
        <f t="shared" si="54"/>
        <v>100</v>
      </c>
      <c r="AF71" s="45">
        <f t="shared" si="5"/>
        <v>0.9285714285714286</v>
      </c>
    </row>
    <row r="72" spans="1:32" ht="43.5" customHeight="1">
      <c r="A72" s="15" t="str">
        <f>Instrumento!A35</f>
        <v>Q27</v>
      </c>
      <c r="B72" s="65" t="str">
        <f>Instrumento!B35</f>
        <v>Certidão de inteiro teor de decisão de negativa de acesso - É direito do requerente obter o inteiro teor de decisão de negativa de acesso, por certidão ou cópia - (0 = para constatação de cumprimento ausente e 3 = para constatação de cumprimento forte e NS = quando não se aplicar);</v>
      </c>
      <c r="C72" s="66"/>
      <c r="D72" s="48" t="s">
        <v>58</v>
      </c>
      <c r="E72" s="48" t="s">
        <v>58</v>
      </c>
      <c r="F72" s="48" t="s">
        <v>58</v>
      </c>
      <c r="G72" s="48" t="s">
        <v>58</v>
      </c>
      <c r="H72" s="48" t="s">
        <v>58</v>
      </c>
      <c r="I72" s="48" t="s">
        <v>58</v>
      </c>
      <c r="J72" s="48" t="s">
        <v>58</v>
      </c>
      <c r="K72" s="48" t="s">
        <v>58</v>
      </c>
      <c r="L72" s="48" t="s">
        <v>58</v>
      </c>
      <c r="M72" s="48" t="s">
        <v>58</v>
      </c>
      <c r="N72" s="48" t="s">
        <v>58</v>
      </c>
      <c r="O72" s="48" t="s">
        <v>58</v>
      </c>
      <c r="P72" s="48" t="s">
        <v>58</v>
      </c>
      <c r="Q72" s="48" t="s">
        <v>58</v>
      </c>
      <c r="R72" s="48" t="s">
        <v>58</v>
      </c>
      <c r="S72" s="48" t="s">
        <v>58</v>
      </c>
      <c r="T72" s="48" t="s">
        <v>58</v>
      </c>
      <c r="U72" s="48" t="s">
        <v>58</v>
      </c>
      <c r="V72" s="48" t="s">
        <v>58</v>
      </c>
      <c r="W72" s="48" t="s">
        <v>58</v>
      </c>
      <c r="X72" s="48" t="s">
        <v>58</v>
      </c>
      <c r="Y72" s="48" t="s">
        <v>58</v>
      </c>
      <c r="Z72" s="48" t="s">
        <v>58</v>
      </c>
      <c r="AA72" s="48" t="s">
        <v>58</v>
      </c>
      <c r="AB72" s="48" t="s">
        <v>58</v>
      </c>
      <c r="AC72" s="48" t="s">
        <v>58</v>
      </c>
      <c r="AD72" s="48" t="s">
        <v>58</v>
      </c>
      <c r="AE72" s="48" t="s">
        <v>58</v>
      </c>
      <c r="AF72" s="44">
        <f t="shared" ref="AF72" si="55">(COUNTIF(D72:AE72,1)+COUNTIF(D72:AE72,2)+COUNTIF(D72:AE72,3)+COUNTIF(D72:AE72,"NS"))/28</f>
        <v>1</v>
      </c>
    </row>
    <row r="73" spans="1:32">
      <c r="A73" s="3"/>
      <c r="B73" s="23"/>
      <c r="C73" s="23"/>
      <c r="D73" s="13">
        <f t="shared" ref="D73:AE73" si="56">IF(D72=$A$90,$C$90,IF(D72=$A$91,$C$91,IF(D72=$A$92,$C$92,IF(D72=$A$93,$C$93,IF(D72="NS",100)))))</f>
        <v>100</v>
      </c>
      <c r="E73" s="13">
        <f t="shared" si="56"/>
        <v>100</v>
      </c>
      <c r="F73" s="13">
        <f t="shared" si="56"/>
        <v>100</v>
      </c>
      <c r="G73" s="13">
        <f t="shared" si="56"/>
        <v>100</v>
      </c>
      <c r="H73" s="13">
        <f t="shared" si="56"/>
        <v>100</v>
      </c>
      <c r="I73" s="13">
        <f t="shared" si="56"/>
        <v>100</v>
      </c>
      <c r="J73" s="13">
        <f t="shared" si="56"/>
        <v>100</v>
      </c>
      <c r="K73" s="13">
        <f t="shared" si="56"/>
        <v>100</v>
      </c>
      <c r="L73" s="13">
        <f t="shared" si="56"/>
        <v>100</v>
      </c>
      <c r="M73" s="13">
        <f t="shared" si="56"/>
        <v>100</v>
      </c>
      <c r="N73" s="13">
        <f t="shared" si="56"/>
        <v>100</v>
      </c>
      <c r="O73" s="13">
        <f t="shared" si="56"/>
        <v>100</v>
      </c>
      <c r="P73" s="13">
        <f t="shared" si="56"/>
        <v>100</v>
      </c>
      <c r="Q73" s="13">
        <f t="shared" si="56"/>
        <v>100</v>
      </c>
      <c r="R73" s="13">
        <f t="shared" si="56"/>
        <v>100</v>
      </c>
      <c r="S73" s="13">
        <f t="shared" si="56"/>
        <v>100</v>
      </c>
      <c r="T73" s="13">
        <f t="shared" si="56"/>
        <v>100</v>
      </c>
      <c r="U73" s="13">
        <f t="shared" si="56"/>
        <v>100</v>
      </c>
      <c r="V73" s="13">
        <f t="shared" si="56"/>
        <v>100</v>
      </c>
      <c r="W73" s="13">
        <f t="shared" si="56"/>
        <v>100</v>
      </c>
      <c r="X73" s="13">
        <f t="shared" si="56"/>
        <v>100</v>
      </c>
      <c r="Y73" s="13">
        <f t="shared" si="56"/>
        <v>100</v>
      </c>
      <c r="Z73" s="13">
        <f t="shared" si="56"/>
        <v>100</v>
      </c>
      <c r="AA73" s="13">
        <f t="shared" si="56"/>
        <v>100</v>
      </c>
      <c r="AB73" s="13">
        <f t="shared" si="56"/>
        <v>100</v>
      </c>
      <c r="AC73" s="13">
        <f t="shared" si="56"/>
        <v>100</v>
      </c>
      <c r="AD73" s="13">
        <f t="shared" si="56"/>
        <v>100</v>
      </c>
      <c r="AE73" s="13">
        <f t="shared" si="56"/>
        <v>100</v>
      </c>
      <c r="AF73" s="44">
        <f t="shared" si="5"/>
        <v>1</v>
      </c>
    </row>
    <row r="74" spans="1:32" ht="89.25" customHeight="1">
      <c r="A74" s="12" t="str">
        <f>Instrumento!A36</f>
        <v>Q28</v>
      </c>
      <c r="B74" s="63" t="str">
        <f>Instrumento!B36</f>
        <v>Negativa do pedido com indicação e comunicação das razões e possibilidade de recurso - Em caso de negativa do pedido de acesso à informação, enviar ao requerente, no prazo de resposta, comunicação com as razões da negativa de acesso e seu fundamento legal, bem como possibilidade e prazo de recurso, com indicação da autoridade que o apreciaria - (0 = para constatação de cumprimento ausente e 3 = para constatação de cumprimento forte e NS = quando não se aplicar);</v>
      </c>
      <c r="C74" s="64"/>
      <c r="D74" s="47" t="s">
        <v>58</v>
      </c>
      <c r="E74" s="47" t="s">
        <v>58</v>
      </c>
      <c r="F74" s="47" t="s">
        <v>58</v>
      </c>
      <c r="G74" s="47" t="s">
        <v>58</v>
      </c>
      <c r="H74" s="47" t="s">
        <v>58</v>
      </c>
      <c r="I74" s="47" t="s">
        <v>58</v>
      </c>
      <c r="J74" s="47" t="s">
        <v>58</v>
      </c>
      <c r="K74" s="47" t="s">
        <v>58</v>
      </c>
      <c r="L74" s="47" t="s">
        <v>58</v>
      </c>
      <c r="M74" s="47" t="s">
        <v>58</v>
      </c>
      <c r="N74" s="47" t="s">
        <v>58</v>
      </c>
      <c r="O74" s="47" t="s">
        <v>58</v>
      </c>
      <c r="P74" s="47" t="s">
        <v>58</v>
      </c>
      <c r="Q74" s="47" t="s">
        <v>58</v>
      </c>
      <c r="R74" s="47" t="s">
        <v>58</v>
      </c>
      <c r="S74" s="47" t="s">
        <v>58</v>
      </c>
      <c r="T74" s="47" t="s">
        <v>58</v>
      </c>
      <c r="U74" s="47" t="s">
        <v>58</v>
      </c>
      <c r="V74" s="47" t="s">
        <v>58</v>
      </c>
      <c r="W74" s="47" t="s">
        <v>58</v>
      </c>
      <c r="X74" s="47" t="s">
        <v>58</v>
      </c>
      <c r="Y74" s="47" t="s">
        <v>58</v>
      </c>
      <c r="Z74" s="47" t="s">
        <v>58</v>
      </c>
      <c r="AA74" s="47" t="s">
        <v>58</v>
      </c>
      <c r="AB74" s="47" t="s">
        <v>58</v>
      </c>
      <c r="AC74" s="47" t="s">
        <v>58</v>
      </c>
      <c r="AD74" s="47" t="s">
        <v>58</v>
      </c>
      <c r="AE74" s="47" t="s">
        <v>58</v>
      </c>
      <c r="AF74" s="45">
        <f t="shared" ref="AF74" si="57">(COUNTIF(D74:AE74,1)+COUNTIF(D74:AE74,2)+COUNTIF(D74:AE74,3)+COUNTIF(D74:AE74,"NS"))/28</f>
        <v>1</v>
      </c>
    </row>
    <row r="75" spans="1:32">
      <c r="A75" s="3"/>
      <c r="B75" s="23"/>
      <c r="C75" s="23"/>
      <c r="D75" s="14">
        <f t="shared" ref="D75:AE75" si="58">IF(D74=$A$90,$C$90,IF(D74=$A$91,$C$91,IF(D74=$A$92,$C$92,IF(D74=$A$93,$C$93,IF(D74="NS",100)))))</f>
        <v>100</v>
      </c>
      <c r="E75" s="14">
        <f t="shared" si="58"/>
        <v>100</v>
      </c>
      <c r="F75" s="14">
        <f t="shared" si="58"/>
        <v>100</v>
      </c>
      <c r="G75" s="14">
        <f t="shared" si="58"/>
        <v>100</v>
      </c>
      <c r="H75" s="14">
        <f t="shared" si="58"/>
        <v>100</v>
      </c>
      <c r="I75" s="14">
        <f t="shared" si="58"/>
        <v>100</v>
      </c>
      <c r="J75" s="14">
        <f t="shared" si="58"/>
        <v>100</v>
      </c>
      <c r="K75" s="14">
        <f t="shared" si="58"/>
        <v>100</v>
      </c>
      <c r="L75" s="14">
        <f t="shared" si="58"/>
        <v>100</v>
      </c>
      <c r="M75" s="14">
        <f t="shared" si="58"/>
        <v>100</v>
      </c>
      <c r="N75" s="14">
        <f t="shared" si="58"/>
        <v>100</v>
      </c>
      <c r="O75" s="14">
        <f t="shared" si="58"/>
        <v>100</v>
      </c>
      <c r="P75" s="14">
        <f t="shared" si="58"/>
        <v>100</v>
      </c>
      <c r="Q75" s="14">
        <f t="shared" si="58"/>
        <v>100</v>
      </c>
      <c r="R75" s="14">
        <f t="shared" si="58"/>
        <v>100</v>
      </c>
      <c r="S75" s="14">
        <f t="shared" si="58"/>
        <v>100</v>
      </c>
      <c r="T75" s="14">
        <f t="shared" si="58"/>
        <v>100</v>
      </c>
      <c r="U75" s="14">
        <f t="shared" si="58"/>
        <v>100</v>
      </c>
      <c r="V75" s="14">
        <f t="shared" si="58"/>
        <v>100</v>
      </c>
      <c r="W75" s="14">
        <f t="shared" si="58"/>
        <v>100</v>
      </c>
      <c r="X75" s="14">
        <f t="shared" si="58"/>
        <v>100</v>
      </c>
      <c r="Y75" s="14">
        <f t="shared" si="58"/>
        <v>100</v>
      </c>
      <c r="Z75" s="14">
        <f t="shared" si="58"/>
        <v>100</v>
      </c>
      <c r="AA75" s="14">
        <f t="shared" si="58"/>
        <v>100</v>
      </c>
      <c r="AB75" s="14">
        <f t="shared" si="58"/>
        <v>100</v>
      </c>
      <c r="AC75" s="14">
        <f t="shared" si="58"/>
        <v>100</v>
      </c>
      <c r="AD75" s="14">
        <f t="shared" si="58"/>
        <v>100</v>
      </c>
      <c r="AE75" s="14">
        <f t="shared" si="58"/>
        <v>100</v>
      </c>
      <c r="AF75" s="45">
        <f t="shared" si="5"/>
        <v>1</v>
      </c>
    </row>
    <row r="76" spans="1:32" ht="81.75" customHeight="1">
      <c r="A76" s="15" t="str">
        <f>Instrumento!A37</f>
        <v>Q29</v>
      </c>
      <c r="B76" s="65" t="str">
        <f>Instrumento!B37</f>
        <v>Nos casos em que a informação já esteja disponível ao público em formato impresso, eletrônico ou em outro meio de acesso universal, orientar ao requerente quanto ao local e modo para consultar, obter ou reproduzir a informação - (0 = para constatação de cumprimento ausente ou omissão/ausência de resposta, 1 = para constatação de cumprimento fraco; 2 = para constatação de cumprimento moderado; 3 = para constatação de cumprimento forte e NS = quando não se aplicar);</v>
      </c>
      <c r="C76" s="66"/>
      <c r="D76" s="48">
        <v>3</v>
      </c>
      <c r="E76" s="48">
        <v>0</v>
      </c>
      <c r="F76" s="48">
        <v>0</v>
      </c>
      <c r="G76" s="48">
        <v>0</v>
      </c>
      <c r="H76" s="48">
        <v>0</v>
      </c>
      <c r="I76" s="48">
        <v>3</v>
      </c>
      <c r="J76" s="48">
        <v>1</v>
      </c>
      <c r="K76" s="48">
        <v>0</v>
      </c>
      <c r="L76" s="48" t="s">
        <v>58</v>
      </c>
      <c r="M76" s="48">
        <v>0</v>
      </c>
      <c r="N76" s="48">
        <v>0</v>
      </c>
      <c r="O76" s="48" t="s">
        <v>58</v>
      </c>
      <c r="P76" s="48">
        <v>0</v>
      </c>
      <c r="Q76" s="48">
        <v>0</v>
      </c>
      <c r="R76" s="48">
        <v>0</v>
      </c>
      <c r="S76" s="48">
        <v>0</v>
      </c>
      <c r="T76" s="48">
        <v>0</v>
      </c>
      <c r="U76" s="48">
        <v>0</v>
      </c>
      <c r="V76" s="48">
        <v>0</v>
      </c>
      <c r="W76" s="48">
        <v>3</v>
      </c>
      <c r="X76" s="48">
        <v>0</v>
      </c>
      <c r="Y76" s="48">
        <v>0</v>
      </c>
      <c r="Z76" s="48">
        <v>0</v>
      </c>
      <c r="AA76" s="48">
        <v>2</v>
      </c>
      <c r="AB76" s="48">
        <v>2</v>
      </c>
      <c r="AC76" s="48">
        <v>0</v>
      </c>
      <c r="AD76" s="48">
        <v>0</v>
      </c>
      <c r="AE76" s="48">
        <v>0</v>
      </c>
      <c r="AF76" s="44">
        <f t="shared" ref="AF76" si="59">(COUNTIF(D76:AE76,1)+COUNTIF(D76:AE76,2)+COUNTIF(D76:AE76,3)+COUNTIF(D76:AE76,"NS"))/28</f>
        <v>0.2857142857142857</v>
      </c>
    </row>
    <row r="77" spans="1:32">
      <c r="A77" s="3"/>
      <c r="B77" s="23"/>
      <c r="C77" s="23"/>
      <c r="D77" s="13">
        <f t="shared" ref="D77:AE77" si="60">IF(D76=$A$90,$C$90,IF(D76=$A$91,$C$91,IF(D76=$A$92,$C$92,IF(D76=$A$93,$C$93,IF(D76="NS",100)))))</f>
        <v>100</v>
      </c>
      <c r="E77" s="13">
        <f t="shared" si="60"/>
        <v>0</v>
      </c>
      <c r="F77" s="13">
        <f t="shared" si="60"/>
        <v>0</v>
      </c>
      <c r="G77" s="13">
        <f t="shared" si="60"/>
        <v>0</v>
      </c>
      <c r="H77" s="13">
        <f t="shared" si="60"/>
        <v>0</v>
      </c>
      <c r="I77" s="13">
        <f t="shared" si="60"/>
        <v>100</v>
      </c>
      <c r="J77" s="13">
        <f t="shared" si="60"/>
        <v>33.33</v>
      </c>
      <c r="K77" s="13">
        <f t="shared" si="60"/>
        <v>0</v>
      </c>
      <c r="L77" s="13">
        <f t="shared" si="60"/>
        <v>100</v>
      </c>
      <c r="M77" s="13">
        <f t="shared" si="60"/>
        <v>0</v>
      </c>
      <c r="N77" s="13">
        <f t="shared" si="60"/>
        <v>0</v>
      </c>
      <c r="O77" s="13">
        <f t="shared" si="60"/>
        <v>100</v>
      </c>
      <c r="P77" s="13">
        <f t="shared" si="60"/>
        <v>0</v>
      </c>
      <c r="Q77" s="13">
        <f t="shared" si="60"/>
        <v>0</v>
      </c>
      <c r="R77" s="13">
        <f t="shared" si="60"/>
        <v>0</v>
      </c>
      <c r="S77" s="13">
        <f t="shared" si="60"/>
        <v>0</v>
      </c>
      <c r="T77" s="13">
        <f t="shared" si="60"/>
        <v>0</v>
      </c>
      <c r="U77" s="13">
        <f t="shared" si="60"/>
        <v>0</v>
      </c>
      <c r="V77" s="13">
        <f t="shared" si="60"/>
        <v>0</v>
      </c>
      <c r="W77" s="13">
        <f t="shared" si="60"/>
        <v>100</v>
      </c>
      <c r="X77" s="13">
        <f t="shared" si="60"/>
        <v>0</v>
      </c>
      <c r="Y77" s="13">
        <f t="shared" si="60"/>
        <v>0</v>
      </c>
      <c r="Z77" s="13">
        <f t="shared" si="60"/>
        <v>0</v>
      </c>
      <c r="AA77" s="13">
        <f t="shared" si="60"/>
        <v>50</v>
      </c>
      <c r="AB77" s="13">
        <f t="shared" si="60"/>
        <v>50</v>
      </c>
      <c r="AC77" s="13">
        <f t="shared" si="60"/>
        <v>0</v>
      </c>
      <c r="AD77" s="13">
        <f t="shared" si="60"/>
        <v>0</v>
      </c>
      <c r="AE77" s="13">
        <f t="shared" si="60"/>
        <v>0</v>
      </c>
      <c r="AF77" s="44">
        <f t="shared" si="5"/>
        <v>0.22618928571428568</v>
      </c>
    </row>
    <row r="78" spans="1:32" ht="57.75" customHeight="1">
      <c r="A78" s="12" t="str">
        <f>Instrumento!A38</f>
        <v>Q30</v>
      </c>
      <c r="B78" s="63" t="str">
        <f>Instrumento!B38</f>
        <v>Envio de resposta - Concedeu acesso à informação enviando resposta ao que foi requisitado - (0 = para constatação de cumprimento ausente, 1 = para constatação de cumprimento fraco; 2 = para constatação de cumprimento moderado; 3 = para constatação de cumprimento forte);</v>
      </c>
      <c r="C78" s="64"/>
      <c r="D78" s="47">
        <v>2</v>
      </c>
      <c r="E78" s="47">
        <v>0</v>
      </c>
      <c r="F78" s="47">
        <v>0</v>
      </c>
      <c r="G78" s="47">
        <v>0</v>
      </c>
      <c r="H78" s="47">
        <v>0</v>
      </c>
      <c r="I78" s="47">
        <v>2</v>
      </c>
      <c r="J78" s="47">
        <v>1</v>
      </c>
      <c r="K78" s="47">
        <v>0</v>
      </c>
      <c r="L78" s="47">
        <v>2</v>
      </c>
      <c r="M78" s="47">
        <v>0</v>
      </c>
      <c r="N78" s="47">
        <v>0</v>
      </c>
      <c r="O78" s="47">
        <v>3</v>
      </c>
      <c r="P78" s="47">
        <v>0</v>
      </c>
      <c r="Q78" s="47">
        <v>0</v>
      </c>
      <c r="R78" s="47">
        <v>0</v>
      </c>
      <c r="S78" s="47">
        <v>0</v>
      </c>
      <c r="T78" s="47">
        <v>0</v>
      </c>
      <c r="U78" s="47">
        <v>0</v>
      </c>
      <c r="V78" s="47">
        <v>0</v>
      </c>
      <c r="W78" s="47">
        <v>3</v>
      </c>
      <c r="X78" s="47">
        <v>0</v>
      </c>
      <c r="Y78" s="47">
        <v>0</v>
      </c>
      <c r="Z78" s="47">
        <v>0</v>
      </c>
      <c r="AA78" s="47">
        <v>2</v>
      </c>
      <c r="AB78" s="47">
        <v>3</v>
      </c>
      <c r="AC78" s="47">
        <v>0</v>
      </c>
      <c r="AD78" s="47">
        <v>0</v>
      </c>
      <c r="AE78" s="47">
        <v>0</v>
      </c>
      <c r="AF78" s="45">
        <f>(COUNTIF(D78:AE78,1)+COUNTIF(D78:AE78,2)+COUNTIF(D78:AE78,3)+COUNTIF(D78:AE78,"NS"))/28</f>
        <v>0.2857142857142857</v>
      </c>
    </row>
    <row r="79" spans="1:32">
      <c r="A79" s="9"/>
      <c r="B79" s="11"/>
      <c r="C79" s="11"/>
      <c r="D79" s="14">
        <f t="shared" ref="D79:AE79" si="61">IF(D78=$A$90,$C$90,IF(D78=$A$91,$C$91,IF(D78=$A$92,$C$92,IF(D78=$A$93,$C$93,IF(D78="NS",100)))))</f>
        <v>50</v>
      </c>
      <c r="E79" s="14">
        <f t="shared" si="61"/>
        <v>0</v>
      </c>
      <c r="F79" s="14">
        <f t="shared" si="61"/>
        <v>0</v>
      </c>
      <c r="G79" s="14">
        <f t="shared" si="61"/>
        <v>0</v>
      </c>
      <c r="H79" s="14">
        <f t="shared" si="61"/>
        <v>0</v>
      </c>
      <c r="I79" s="14">
        <f t="shared" si="61"/>
        <v>50</v>
      </c>
      <c r="J79" s="14">
        <f t="shared" si="61"/>
        <v>33.33</v>
      </c>
      <c r="K79" s="14">
        <f t="shared" si="61"/>
        <v>0</v>
      </c>
      <c r="L79" s="14">
        <f t="shared" si="61"/>
        <v>50</v>
      </c>
      <c r="M79" s="14">
        <f t="shared" si="61"/>
        <v>0</v>
      </c>
      <c r="N79" s="14">
        <f t="shared" si="61"/>
        <v>0</v>
      </c>
      <c r="O79" s="14">
        <f t="shared" si="61"/>
        <v>100</v>
      </c>
      <c r="P79" s="14">
        <f t="shared" si="61"/>
        <v>0</v>
      </c>
      <c r="Q79" s="14">
        <f t="shared" si="61"/>
        <v>0</v>
      </c>
      <c r="R79" s="14">
        <f t="shared" si="61"/>
        <v>0</v>
      </c>
      <c r="S79" s="14">
        <f t="shared" si="61"/>
        <v>0</v>
      </c>
      <c r="T79" s="14">
        <f t="shared" si="61"/>
        <v>0</v>
      </c>
      <c r="U79" s="14">
        <f t="shared" si="61"/>
        <v>0</v>
      </c>
      <c r="V79" s="14">
        <f t="shared" si="61"/>
        <v>0</v>
      </c>
      <c r="W79" s="14">
        <f t="shared" si="61"/>
        <v>100</v>
      </c>
      <c r="X79" s="14">
        <f t="shared" si="61"/>
        <v>0</v>
      </c>
      <c r="Y79" s="14">
        <f t="shared" si="61"/>
        <v>0</v>
      </c>
      <c r="Z79" s="14">
        <f t="shared" si="61"/>
        <v>0</v>
      </c>
      <c r="AA79" s="14">
        <f t="shared" si="61"/>
        <v>50</v>
      </c>
      <c r="AB79" s="14">
        <f t="shared" si="61"/>
        <v>100</v>
      </c>
      <c r="AC79" s="14">
        <f t="shared" si="61"/>
        <v>0</v>
      </c>
      <c r="AD79" s="14">
        <f t="shared" si="61"/>
        <v>0</v>
      </c>
      <c r="AE79" s="14">
        <f t="shared" si="61"/>
        <v>0</v>
      </c>
      <c r="AF79" s="45">
        <f>SUM(D79:AE79)/2800</f>
        <v>0.19047499999999998</v>
      </c>
    </row>
    <row r="80" spans="1:32" ht="57.75" customHeight="1">
      <c r="A80" s="15" t="str">
        <f>Instrumento!A39</f>
        <v>Q31</v>
      </c>
      <c r="B80" s="65" t="str">
        <f>Instrumento!B39</f>
        <v>Não ocorrência de omissão de resposta ao pedido de acesso à informação - (0 = para constatação de cumprimento ausente, 1 = para constatação de cumprimento fraco (resposta evasiva), 2 = para constatação de cumprimento moderado (resposta parcial) e 3 = para constatação de cumprimento forte);</v>
      </c>
      <c r="C80" s="66"/>
      <c r="D80" s="46">
        <v>3</v>
      </c>
      <c r="E80" s="46">
        <v>0</v>
      </c>
      <c r="F80" s="46">
        <v>0</v>
      </c>
      <c r="G80" s="46">
        <v>0</v>
      </c>
      <c r="H80" s="46">
        <v>0</v>
      </c>
      <c r="I80" s="46">
        <v>3</v>
      </c>
      <c r="J80" s="46">
        <v>1</v>
      </c>
      <c r="K80" s="46">
        <v>1</v>
      </c>
      <c r="L80" s="46">
        <v>3</v>
      </c>
      <c r="M80" s="46">
        <v>0</v>
      </c>
      <c r="N80" s="46">
        <v>0</v>
      </c>
      <c r="O80" s="46">
        <v>3</v>
      </c>
      <c r="P80" s="46">
        <v>1</v>
      </c>
      <c r="Q80" s="46">
        <v>3</v>
      </c>
      <c r="R80" s="46">
        <v>0</v>
      </c>
      <c r="S80" s="46">
        <v>0</v>
      </c>
      <c r="T80" s="46">
        <v>0</v>
      </c>
      <c r="U80" s="46">
        <v>0</v>
      </c>
      <c r="V80" s="46">
        <v>1</v>
      </c>
      <c r="W80" s="46">
        <v>3</v>
      </c>
      <c r="X80" s="46">
        <v>0</v>
      </c>
      <c r="Y80" s="46">
        <v>0</v>
      </c>
      <c r="Z80" s="46">
        <v>0</v>
      </c>
      <c r="AA80" s="46">
        <v>3</v>
      </c>
      <c r="AB80" s="46">
        <v>3</v>
      </c>
      <c r="AC80" s="46">
        <v>0</v>
      </c>
      <c r="AD80" s="46">
        <v>0</v>
      </c>
      <c r="AE80" s="46">
        <v>1</v>
      </c>
      <c r="AF80" s="44">
        <f>(COUNTIF(D80:AE80,1)+COUNTIF(D80:AE80,2)+COUNTIF(D80:AE80,3)+COUNTIF(D80:AE80,"NS"))/28</f>
        <v>0.4642857142857143</v>
      </c>
    </row>
    <row r="81" spans="1:32">
      <c r="A81" s="9"/>
      <c r="B81" s="11"/>
      <c r="C81" s="11"/>
      <c r="D81" s="13">
        <f t="shared" ref="D81:AE81" si="62">IF(D80=$A$90,$C$90,IF(D80=$A$91,$C$91,IF(D80=$A$92,$C$92,IF(D80=$A$93,$C$93,IF(D80="NS",100)))))</f>
        <v>100</v>
      </c>
      <c r="E81" s="13">
        <f t="shared" si="62"/>
        <v>0</v>
      </c>
      <c r="F81" s="13">
        <f t="shared" si="62"/>
        <v>0</v>
      </c>
      <c r="G81" s="13">
        <f t="shared" si="62"/>
        <v>0</v>
      </c>
      <c r="H81" s="13">
        <f t="shared" si="62"/>
        <v>0</v>
      </c>
      <c r="I81" s="13">
        <f t="shared" si="62"/>
        <v>100</v>
      </c>
      <c r="J81" s="13">
        <f t="shared" si="62"/>
        <v>33.33</v>
      </c>
      <c r="K81" s="13">
        <f t="shared" si="62"/>
        <v>33.33</v>
      </c>
      <c r="L81" s="13">
        <f t="shared" si="62"/>
        <v>100</v>
      </c>
      <c r="M81" s="13">
        <f t="shared" si="62"/>
        <v>0</v>
      </c>
      <c r="N81" s="13">
        <f t="shared" si="62"/>
        <v>0</v>
      </c>
      <c r="O81" s="13">
        <f t="shared" si="62"/>
        <v>100</v>
      </c>
      <c r="P81" s="13">
        <f t="shared" si="62"/>
        <v>33.33</v>
      </c>
      <c r="Q81" s="13">
        <f t="shared" si="62"/>
        <v>100</v>
      </c>
      <c r="R81" s="13">
        <f t="shared" si="62"/>
        <v>0</v>
      </c>
      <c r="S81" s="13">
        <f t="shared" si="62"/>
        <v>0</v>
      </c>
      <c r="T81" s="13">
        <f t="shared" si="62"/>
        <v>0</v>
      </c>
      <c r="U81" s="13">
        <f t="shared" si="62"/>
        <v>0</v>
      </c>
      <c r="V81" s="13">
        <f t="shared" si="62"/>
        <v>33.33</v>
      </c>
      <c r="W81" s="13">
        <f t="shared" si="62"/>
        <v>100</v>
      </c>
      <c r="X81" s="13">
        <f t="shared" si="62"/>
        <v>0</v>
      </c>
      <c r="Y81" s="13">
        <f t="shared" si="62"/>
        <v>0</v>
      </c>
      <c r="Z81" s="13">
        <f t="shared" si="62"/>
        <v>0</v>
      </c>
      <c r="AA81" s="13">
        <f t="shared" si="62"/>
        <v>100</v>
      </c>
      <c r="AB81" s="13">
        <f t="shared" si="62"/>
        <v>100</v>
      </c>
      <c r="AC81" s="13">
        <f t="shared" si="62"/>
        <v>0</v>
      </c>
      <c r="AD81" s="13">
        <f t="shared" si="62"/>
        <v>0</v>
      </c>
      <c r="AE81" s="13">
        <f t="shared" si="62"/>
        <v>33.33</v>
      </c>
      <c r="AF81" s="44">
        <f t="shared" ref="AF81" si="63">SUM(D81:AE81)/2800</f>
        <v>0.34523214285714288</v>
      </c>
    </row>
    <row r="82" spans="1:32" ht="57.75" customHeight="1">
      <c r="A82" s="12" t="str">
        <f>Instrumento!A40</f>
        <v>Q32</v>
      </c>
      <c r="B82" s="63" t="str">
        <f>Instrumento!B40</f>
        <v>Possibilidade de apresentar Reclamação/Recurso (botão recurso) - no caso de omissão de resposta ao pedido de acesso à informação (trinta dias após sua apresentação), o requerente poderá apresentar reclamação no prazo de dez dias à autoridade de monitoramento - (0 = para constatação de cumprimento ausente e 3 = para constatação de cumprimento forte) equivalente a Não ou Sim.</v>
      </c>
      <c r="C82" s="64"/>
      <c r="D82" s="47">
        <v>0</v>
      </c>
      <c r="E82" s="47">
        <v>0</v>
      </c>
      <c r="F82" s="47">
        <v>0</v>
      </c>
      <c r="G82" s="47">
        <v>0</v>
      </c>
      <c r="H82" s="47">
        <v>0</v>
      </c>
      <c r="I82" s="47">
        <v>0</v>
      </c>
      <c r="J82" s="47">
        <v>0</v>
      </c>
      <c r="K82" s="47">
        <v>1</v>
      </c>
      <c r="L82" s="47">
        <v>0</v>
      </c>
      <c r="M82" s="47">
        <v>0</v>
      </c>
      <c r="N82" s="47">
        <v>0</v>
      </c>
      <c r="O82" s="47">
        <v>3</v>
      </c>
      <c r="P82" s="47">
        <v>0</v>
      </c>
      <c r="Q82" s="47">
        <v>0</v>
      </c>
      <c r="R82" s="47">
        <v>0</v>
      </c>
      <c r="S82" s="47">
        <v>0</v>
      </c>
      <c r="T82" s="47">
        <v>0</v>
      </c>
      <c r="U82" s="47">
        <v>0</v>
      </c>
      <c r="V82" s="47">
        <v>0</v>
      </c>
      <c r="W82" s="47">
        <v>0</v>
      </c>
      <c r="X82" s="47">
        <v>0</v>
      </c>
      <c r="Y82" s="47">
        <v>0</v>
      </c>
      <c r="Z82" s="47">
        <v>0</v>
      </c>
      <c r="AA82" s="47">
        <v>3</v>
      </c>
      <c r="AB82" s="47">
        <v>3</v>
      </c>
      <c r="AC82" s="47">
        <v>0</v>
      </c>
      <c r="AD82" s="47">
        <v>0</v>
      </c>
      <c r="AE82" s="47">
        <v>0</v>
      </c>
      <c r="AF82" s="45">
        <f t="shared" ref="AF82" si="64">(COUNTIF(D82:AE82,1)+COUNTIF(D82:AE82,2)+COUNTIF(D82:AE82,3)+COUNTIF(D82:AE82,"NS"))/28</f>
        <v>0.14285714285714285</v>
      </c>
    </row>
    <row r="83" spans="1:32">
      <c r="A83" s="9"/>
      <c r="B83" s="11"/>
      <c r="C83" s="11"/>
      <c r="D83" s="14">
        <f t="shared" ref="D83:AE83" si="65">IF(D82=$A$90,$C$90,IF(D82=$A$91,$C$91,IF(D82=$A$92,$C$92,IF(D82=$A$93,$C$93,IF(D82="NS",100)))))</f>
        <v>0</v>
      </c>
      <c r="E83" s="14">
        <f t="shared" si="65"/>
        <v>0</v>
      </c>
      <c r="F83" s="14">
        <f t="shared" si="65"/>
        <v>0</v>
      </c>
      <c r="G83" s="14">
        <f t="shared" si="65"/>
        <v>0</v>
      </c>
      <c r="H83" s="14">
        <f t="shared" si="65"/>
        <v>0</v>
      </c>
      <c r="I83" s="14">
        <f t="shared" si="65"/>
        <v>0</v>
      </c>
      <c r="J83" s="14">
        <f t="shared" si="65"/>
        <v>0</v>
      </c>
      <c r="K83" s="14">
        <f t="shared" si="65"/>
        <v>33.33</v>
      </c>
      <c r="L83" s="14">
        <f t="shared" si="65"/>
        <v>0</v>
      </c>
      <c r="M83" s="14">
        <f t="shared" si="65"/>
        <v>0</v>
      </c>
      <c r="N83" s="14">
        <f t="shared" si="65"/>
        <v>0</v>
      </c>
      <c r="O83" s="14">
        <f t="shared" si="65"/>
        <v>100</v>
      </c>
      <c r="P83" s="14">
        <f t="shared" si="65"/>
        <v>0</v>
      </c>
      <c r="Q83" s="14">
        <f t="shared" si="65"/>
        <v>0</v>
      </c>
      <c r="R83" s="14">
        <f t="shared" si="65"/>
        <v>0</v>
      </c>
      <c r="S83" s="14">
        <f t="shared" si="65"/>
        <v>0</v>
      </c>
      <c r="T83" s="14">
        <f t="shared" si="65"/>
        <v>0</v>
      </c>
      <c r="U83" s="14">
        <f t="shared" si="65"/>
        <v>0</v>
      </c>
      <c r="V83" s="14">
        <f t="shared" si="65"/>
        <v>0</v>
      </c>
      <c r="W83" s="14">
        <f t="shared" si="65"/>
        <v>0</v>
      </c>
      <c r="X83" s="14">
        <f t="shared" si="65"/>
        <v>0</v>
      </c>
      <c r="Y83" s="14">
        <f t="shared" si="65"/>
        <v>0</v>
      </c>
      <c r="Z83" s="14">
        <f t="shared" si="65"/>
        <v>0</v>
      </c>
      <c r="AA83" s="14">
        <f t="shared" si="65"/>
        <v>100</v>
      </c>
      <c r="AB83" s="14">
        <f t="shared" si="65"/>
        <v>100</v>
      </c>
      <c r="AC83" s="14">
        <f t="shared" si="65"/>
        <v>0</v>
      </c>
      <c r="AD83" s="14">
        <f t="shared" si="65"/>
        <v>0</v>
      </c>
      <c r="AE83" s="14">
        <f t="shared" si="65"/>
        <v>0</v>
      </c>
      <c r="AF83" s="45">
        <f>SUM(D83:AE83)/2800</f>
        <v>0.11904642857142857</v>
      </c>
    </row>
    <row r="84" spans="1:32">
      <c r="A84" s="9"/>
      <c r="B84" s="11"/>
      <c r="C84" s="11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  <c r="AD84" s="17"/>
      <c r="AE84" s="17"/>
    </row>
    <row r="85" spans="1:32">
      <c r="B85" s="75" t="s">
        <v>153</v>
      </c>
      <c r="C85" s="75"/>
      <c r="D85" s="55">
        <f t="shared" ref="D85:I85" si="66">COUNTBLANK(D13:D48)</f>
        <v>0</v>
      </c>
      <c r="E85" s="55">
        <f t="shared" si="66"/>
        <v>0</v>
      </c>
      <c r="F85" s="55">
        <f t="shared" si="66"/>
        <v>0</v>
      </c>
      <c r="G85" s="55">
        <f t="shared" si="66"/>
        <v>0</v>
      </c>
      <c r="H85" s="55">
        <f t="shared" si="66"/>
        <v>0</v>
      </c>
      <c r="I85" s="55">
        <f t="shared" si="66"/>
        <v>0</v>
      </c>
      <c r="J85" s="55">
        <f>COUNTBLANK(J13:J48)</f>
        <v>0</v>
      </c>
      <c r="K85" s="55">
        <f t="shared" ref="K85:AE85" si="67">COUNTBLANK(K13:K48)</f>
        <v>0</v>
      </c>
      <c r="L85" s="55">
        <f t="shared" si="67"/>
        <v>0</v>
      </c>
      <c r="M85" s="55">
        <f t="shared" si="67"/>
        <v>0</v>
      </c>
      <c r="N85" s="55">
        <f t="shared" si="67"/>
        <v>0</v>
      </c>
      <c r="O85" s="55">
        <f t="shared" si="67"/>
        <v>0</v>
      </c>
      <c r="P85" s="55">
        <f t="shared" si="67"/>
        <v>0</v>
      </c>
      <c r="Q85" s="55">
        <f t="shared" si="67"/>
        <v>0</v>
      </c>
      <c r="R85" s="55">
        <f t="shared" si="67"/>
        <v>0</v>
      </c>
      <c r="S85" s="55">
        <f t="shared" si="67"/>
        <v>0</v>
      </c>
      <c r="T85" s="55">
        <f t="shared" si="67"/>
        <v>0</v>
      </c>
      <c r="U85" s="55">
        <f t="shared" si="67"/>
        <v>0</v>
      </c>
      <c r="V85" s="55">
        <f t="shared" si="67"/>
        <v>0</v>
      </c>
      <c r="W85" s="55">
        <f t="shared" si="67"/>
        <v>0</v>
      </c>
      <c r="X85" s="55">
        <f t="shared" si="67"/>
        <v>0</v>
      </c>
      <c r="Y85" s="55">
        <f t="shared" si="67"/>
        <v>0</v>
      </c>
      <c r="Z85" s="55">
        <f t="shared" si="67"/>
        <v>0</v>
      </c>
      <c r="AA85" s="55">
        <f t="shared" si="67"/>
        <v>0</v>
      </c>
      <c r="AB85" s="55">
        <f t="shared" si="67"/>
        <v>0</v>
      </c>
      <c r="AC85" s="55">
        <f t="shared" si="67"/>
        <v>0</v>
      </c>
      <c r="AD85" s="55">
        <f t="shared" si="67"/>
        <v>0</v>
      </c>
      <c r="AE85" s="55">
        <f t="shared" si="67"/>
        <v>0</v>
      </c>
      <c r="AF85" s="56">
        <f>SUM(D85:AE85)</f>
        <v>0</v>
      </c>
    </row>
    <row r="86" spans="1:32" ht="17.25" customHeight="1">
      <c r="B86" s="75" t="s">
        <v>154</v>
      </c>
      <c r="C86" s="75"/>
      <c r="D86" s="55">
        <f t="shared" ref="D86:I86" si="68">COUNTBLANK(D56:D83)</f>
        <v>0</v>
      </c>
      <c r="E86" s="55">
        <f t="shared" si="68"/>
        <v>0</v>
      </c>
      <c r="F86" s="55">
        <f t="shared" si="68"/>
        <v>0</v>
      </c>
      <c r="G86" s="55">
        <f t="shared" si="68"/>
        <v>0</v>
      </c>
      <c r="H86" s="55">
        <f t="shared" si="68"/>
        <v>0</v>
      </c>
      <c r="I86" s="55">
        <f t="shared" si="68"/>
        <v>0</v>
      </c>
      <c r="J86" s="55">
        <f>COUNTBLANK(J56:J83)</f>
        <v>0</v>
      </c>
      <c r="K86" s="55">
        <f t="shared" ref="K86:AE86" si="69">COUNTBLANK(K56:K83)</f>
        <v>0</v>
      </c>
      <c r="L86" s="55">
        <f t="shared" si="69"/>
        <v>0</v>
      </c>
      <c r="M86" s="55">
        <f t="shared" si="69"/>
        <v>0</v>
      </c>
      <c r="N86" s="55">
        <f t="shared" si="69"/>
        <v>0</v>
      </c>
      <c r="O86" s="55">
        <f t="shared" si="69"/>
        <v>0</v>
      </c>
      <c r="P86" s="55">
        <f t="shared" si="69"/>
        <v>0</v>
      </c>
      <c r="Q86" s="55">
        <f t="shared" si="69"/>
        <v>0</v>
      </c>
      <c r="R86" s="55">
        <f t="shared" si="69"/>
        <v>0</v>
      </c>
      <c r="S86" s="55">
        <f t="shared" si="69"/>
        <v>0</v>
      </c>
      <c r="T86" s="55">
        <f t="shared" si="69"/>
        <v>0</v>
      </c>
      <c r="U86" s="55">
        <f t="shared" si="69"/>
        <v>0</v>
      </c>
      <c r="V86" s="55">
        <f t="shared" si="69"/>
        <v>0</v>
      </c>
      <c r="W86" s="55">
        <f t="shared" si="69"/>
        <v>0</v>
      </c>
      <c r="X86" s="55">
        <f t="shared" si="69"/>
        <v>0</v>
      </c>
      <c r="Y86" s="55">
        <f t="shared" si="69"/>
        <v>0</v>
      </c>
      <c r="Z86" s="55">
        <f t="shared" si="69"/>
        <v>0</v>
      </c>
      <c r="AA86" s="55">
        <f t="shared" si="69"/>
        <v>0</v>
      </c>
      <c r="AB86" s="55">
        <f t="shared" si="69"/>
        <v>0</v>
      </c>
      <c r="AC86" s="55">
        <f t="shared" si="69"/>
        <v>0</v>
      </c>
      <c r="AD86" s="55">
        <f t="shared" si="69"/>
        <v>0</v>
      </c>
      <c r="AE86" s="55">
        <f t="shared" si="69"/>
        <v>0</v>
      </c>
      <c r="AF86" s="56">
        <f>SUM(D86:AE86)</f>
        <v>0</v>
      </c>
    </row>
    <row r="88" spans="1:32">
      <c r="B88" s="5" t="s">
        <v>21</v>
      </c>
      <c r="C88" s="5"/>
    </row>
    <row r="89" spans="1:32" ht="30">
      <c r="A89" s="3"/>
      <c r="B89" s="2" t="s">
        <v>22</v>
      </c>
      <c r="C89" s="2" t="s">
        <v>23</v>
      </c>
    </row>
    <row r="90" spans="1:32" ht="15.75">
      <c r="A90" s="4">
        <v>0</v>
      </c>
      <c r="B90" s="39" t="s">
        <v>70</v>
      </c>
      <c r="C90" s="7">
        <v>0</v>
      </c>
    </row>
    <row r="91" spans="1:32" ht="15.75">
      <c r="A91" s="4">
        <v>1</v>
      </c>
      <c r="B91" s="39" t="s">
        <v>71</v>
      </c>
      <c r="C91" s="7">
        <v>33.33</v>
      </c>
    </row>
    <row r="92" spans="1:32" ht="15.75">
      <c r="A92" s="4">
        <v>2</v>
      </c>
      <c r="B92" s="39" t="s">
        <v>72</v>
      </c>
      <c r="C92" s="7">
        <v>50</v>
      </c>
    </row>
    <row r="93" spans="1:32" ht="15.75">
      <c r="A93" s="4">
        <v>3</v>
      </c>
      <c r="B93" s="39" t="s">
        <v>82</v>
      </c>
      <c r="C93" s="7">
        <v>100</v>
      </c>
    </row>
    <row r="94" spans="1:32" ht="15.75">
      <c r="A94" s="6" t="s">
        <v>58</v>
      </c>
      <c r="B94" s="39" t="s">
        <v>61</v>
      </c>
      <c r="C94" s="7">
        <v>100</v>
      </c>
    </row>
  </sheetData>
  <sheetProtection sheet="1" objects="1" scenarios="1"/>
  <mergeCells count="45">
    <mergeCell ref="B85:C85"/>
    <mergeCell ref="B86:C86"/>
    <mergeCell ref="D4:AE4"/>
    <mergeCell ref="A1:AE1"/>
    <mergeCell ref="D50:AE50"/>
    <mergeCell ref="A10:C10"/>
    <mergeCell ref="A11:C11"/>
    <mergeCell ref="A6:C6"/>
    <mergeCell ref="D9:AE9"/>
    <mergeCell ref="B43:C43"/>
    <mergeCell ref="B41:C41"/>
    <mergeCell ref="B39:C39"/>
    <mergeCell ref="B37:C37"/>
    <mergeCell ref="B35:C35"/>
    <mergeCell ref="B33:C33"/>
    <mergeCell ref="B31:C31"/>
    <mergeCell ref="B5:C5"/>
    <mergeCell ref="B74:C74"/>
    <mergeCell ref="B76:C76"/>
    <mergeCell ref="B72:C72"/>
    <mergeCell ref="B70:C70"/>
    <mergeCell ref="B68:C68"/>
    <mergeCell ref="B64:C64"/>
    <mergeCell ref="B66:C66"/>
    <mergeCell ref="B62:C62"/>
    <mergeCell ref="B60:C60"/>
    <mergeCell ref="B58:C58"/>
    <mergeCell ref="B56:C56"/>
    <mergeCell ref="B55:C55"/>
    <mergeCell ref="B45:C45"/>
    <mergeCell ref="B15:C15"/>
    <mergeCell ref="B13:C13"/>
    <mergeCell ref="B12:C12"/>
    <mergeCell ref="B47:C47"/>
    <mergeCell ref="B19:C19"/>
    <mergeCell ref="B17:C17"/>
    <mergeCell ref="B29:C29"/>
    <mergeCell ref="B27:C27"/>
    <mergeCell ref="B82:C82"/>
    <mergeCell ref="B80:C80"/>
    <mergeCell ref="B25:C25"/>
    <mergeCell ref="B23:C23"/>
    <mergeCell ref="B21:C21"/>
    <mergeCell ref="B78:C78"/>
    <mergeCell ref="B51:C51"/>
  </mergeCells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2</xdr:col>
                <xdr:colOff>1181100</xdr:colOff>
                <xdr:row>5</xdr:row>
                <xdr:rowOff>304800</xdr:rowOff>
              </to>
            </anchor>
          </controlPr>
        </control>
      </mc:Choice>
      <mc:Fallback>
        <control shapeId="1026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Instrumento</vt:lpstr>
      <vt:lpstr>Aplicação do Instrumento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Leonardo Gonçalves</dc:creator>
  <cp:lastModifiedBy>Leonardo Gonçalves</cp:lastModifiedBy>
  <cp:lastPrinted>2021-04-24T15:30:31Z</cp:lastPrinted>
  <dcterms:created xsi:type="dcterms:W3CDTF">2020-12-14T22:18:59Z</dcterms:created>
  <dcterms:modified xsi:type="dcterms:W3CDTF">2021-04-24T16:24:42Z</dcterms:modified>
</cp:coreProperties>
</file>